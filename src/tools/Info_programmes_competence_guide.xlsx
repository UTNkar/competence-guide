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Information" sheetId="1" r:id="rId4"/>
    <sheet state="visible" name="keywords" sheetId="2" r:id="rId5"/>
    <sheet state="hidden" name="Homepage" sheetId="3" r:id="rId6"/>
  </sheets>
  <definedNames/>
  <calcPr/>
  <extLst>
    <ext uri="GoogleSheetsCustomDataVersion2">
      <go:sheetsCustomData xmlns:go="http://customooxmlschemas.google.com/" r:id="rId7" roundtripDataChecksum="5qhePUmQBAh2iB8ZFKeVjnGE3ddyUeDsWKoqSEl5WtI="/>
    </ext>
  </extLst>
</workbook>
</file>

<file path=xl/sharedStrings.xml><?xml version="1.0" encoding="utf-8"?>
<sst xmlns="http://schemas.openxmlformats.org/spreadsheetml/2006/main" count="766" uniqueCount="344">
  <si>
    <t>id</t>
  </si>
  <si>
    <t>Program</t>
  </si>
  <si>
    <t>type</t>
  </si>
  <si>
    <t>length</t>
  </si>
  <si>
    <t>credits</t>
  </si>
  <si>
    <t>desciption</t>
  </si>
  <si>
    <t>url</t>
  </si>
  <si>
    <t>keywords</t>
  </si>
  <si>
    <t>Electrical Engineering</t>
  </si>
  <si>
    <t>Master of Science in Engineering programme</t>
  </si>
  <si>
    <t>Do you want to design the electric cars of the future or develop the wind turbines of the future? At the Master's Programme in Electrical Engineering you will gain broad knowledge and the chance to learn about everything from how Sweden's electricity grid works to the small electronic components in your mobile phone. Electrical engineering is a good choice if you want to work towards a more sustainable and digitalized future, in an industry where the need for engineers is increasing in line with development. Note! This programme requires knowledge of Swedish.</t>
  </si>
  <si>
    <t>https://www.uu.se/en/study/programme/masters-programme-electrical-engineering</t>
  </si>
  <si>
    <t>Engineering competence</t>
  </si>
  <si>
    <t xml:space="preserve">Electronics </t>
  </si>
  <si>
    <t xml:space="preserve">Power engineering </t>
  </si>
  <si>
    <t>Circuit Analysis</t>
  </si>
  <si>
    <t>Electrical engineering</t>
  </si>
  <si>
    <t/>
  </si>
  <si>
    <t>Energy Systems Engineering</t>
  </si>
  <si>
    <t>Do you want to be part of developing future energy solutions and creating opportunities for a sustainable society? The Master's Programme in Energy Systems Engineering provides you with broad knowledge of energy, climate and environmental issues and the skills you need to lead the development of the energy sector towards a sustainable future. The major and important changes that need to be implemented in the energy system make you very attractive on the job market. Note! This programme requires knowledge of Swedish.</t>
  </si>
  <si>
    <t>https://www.uu.se/en/study/programme/masters-programme-energy-systems-engineering</t>
  </si>
  <si>
    <t>Energy engineering</t>
  </si>
  <si>
    <t>Sustainable development</t>
  </si>
  <si>
    <t>Applied physics Modeling</t>
  </si>
  <si>
    <t xml:space="preserve"> Industrial Engineering and Management</t>
  </si>
  <si>
    <t>Do you want to be part of creating the industry of the future, with intelligent machines, sustainable products and services, and efficient solutions? Do you want to develop new innovative concepts, have the world as a labor market and at the same time get a future-proof professional degree? Take the first step to a diverse and exciting career by studying the Master's Programme in Industrial Engineering and Management. Note! This programme requires knowledge of Swedish.</t>
  </si>
  <si>
    <t>https://www.uu.se/en/study/programme/masters-programme-industrial-engineering-and-management</t>
  </si>
  <si>
    <t>Industrial economics</t>
  </si>
  <si>
    <t>Industrial technology</t>
  </si>
  <si>
    <t>Computer and Information Engineering</t>
  </si>
  <si>
    <t>Programmed technology is everywhere. As a Master of Science in Information Technology, you can develop smart energy solutions, digital tools for e-health or easy-to-use computers. You can work in the area that feels most meaningful to you, with applications that have great importance for other people and society at large. The program gives you a highly sought-after competence to work with IT in many different ways, in many different areas. Note! This programme requires knowledge of Swedish.</t>
  </si>
  <si>
    <t>https://www.uu.se/en/study/programme/masters-programme-computer-and-information-engineering</t>
  </si>
  <si>
    <t>Data analysis</t>
  </si>
  <si>
    <t>Embedded systems</t>
  </si>
  <si>
    <t>Machine learning</t>
  </si>
  <si>
    <t>Programming</t>
  </si>
  <si>
    <t>System development</t>
  </si>
  <si>
    <t>Chemical Engineering</t>
  </si>
  <si>
    <t>The Master's Programme in Chemical Engineering at Uppsala University is an education for those who enjoy chemistry and technology. The two specializations of the education, pharmaceuticals and materials, give you the opportunity for a career in the development and/or manufacturing of these. Both areas are important for human health, the environment and the development of society. Note! This programme requires knowledge of Swedish.</t>
  </si>
  <si>
    <t>https://www.uu.se/en/study/programme/masters-programme-chemical-engineering</t>
  </si>
  <si>
    <t>Technical chemistry</t>
  </si>
  <si>
    <t>Pharmaceutical development</t>
  </si>
  <si>
    <t>Pharmaceutical manufacturing</t>
  </si>
  <si>
    <t>Pharmaceutical analysis</t>
  </si>
  <si>
    <t>Materials science</t>
  </si>
  <si>
    <t>Process engineering</t>
  </si>
  <si>
    <t>Environmental and Water Engineering</t>
  </si>
  <si>
    <t>To create a sustainable society, we must conserve the earth's resources, invest in new knowledge, use new approaches and create innovative technical solutions. How can we develop technology to solve today's and tomorrow's challenges regarding water and the environment? At the Master's Programme in Environmental and Water Engineering you will gain the knowledge and skills you need to lead development in the environmental and water sector and related areas. Note! This programme requires knowledge of Swedish.</t>
  </si>
  <si>
    <t>https://www.uu.se/en/study/programme/masters-programme-environmental-and-water-engineering</t>
  </si>
  <si>
    <t>Community planning</t>
  </si>
  <si>
    <t>Geoscience</t>
  </si>
  <si>
    <t>Water resources</t>
  </si>
  <si>
    <t>Environmental technology</t>
  </si>
  <si>
    <t>Molecular Biotechnology Engineering</t>
  </si>
  <si>
    <t>Do you want to develop groundbreaking technology that improves people's lives? The Master's Programme in Molecular Biotechnology Engineering gives you knowledge about how Biologycal systems and analysis of Biologycal data can be used to create innovative solutions for the development of medicines, foods and fuels. The combination of engineering knowledge and biology makes you sought after in the job market. As a biotechnology engineer, you solve problems in areas such as the environment, health and sustainable production. Note! This programme requires knowledge of Swedish.</t>
  </si>
  <si>
    <t>https://www.uu.se/en/study/programme/masters-programme-molecular-biotechnology-engineering</t>
  </si>
  <si>
    <t>Applied biotechnology</t>
  </si>
  <si>
    <t>Molecular biotechnology</t>
  </si>
  <si>
    <t>Sociotechnical Systems Engineering</t>
  </si>
  <si>
    <t>Do you want to be part of influencing the rapid technological change in a positive direction for the whole of society? Do you want to be able to understand, explain and utilize the interaction between technology and social development, and see where humans and the environment stand in this, in a world that places completely new demands on our future social system? Welcome to a unique, future-oriented engineering program with an eye towards the big questions! Note! This programme requires knowledge of Swedish.</t>
  </si>
  <si>
    <t>https://www.uu.se/en/study/programme/masters-programme-sociotechnical-systems-engineering</t>
  </si>
  <si>
    <t>Economics</t>
  </si>
  <si>
    <t>Social science</t>
  </si>
  <si>
    <t>Humanities</t>
  </si>
  <si>
    <t>Engineering Physics</t>
  </si>
  <si>
    <t>If you want great freedom in your future professional role, then choose the Master's Programme in Engineering Physics! The program gives you both broad and deep knowledge in mathematics, physics and technology. The great freedom in choosing courses gives you the opportunity to specialize to take on the technological and societal challenges of the future. A common career path is that you start as a specialist and later get a role such as project manager, research manager or CEO. Note! This programme requires knowledge of Swedish.</t>
  </si>
  <si>
    <t>https://www.uu.se/en/study/programme/masters-programme-engineering-physics</t>
  </si>
  <si>
    <t>Applied physics</t>
  </si>
  <si>
    <t>Physics</t>
  </si>
  <si>
    <t>Materials Engineering</t>
  </si>
  <si>
    <t>Materials are needed everywhere and set the ultimate limits for all technology. Materials science is a key competence in the transition to a sustainable society. Knowledge of materials is needed to develop everything from new biomaterials to alternatives to the rare earth metals used in modern battery and energy technology. Since almost all technology companies need materials scientists, the job market after graduation is very good. Note! This programme requires knowledge of Swedish.</t>
  </si>
  <si>
    <t>https://www.uu.se/en/study/programme/masters-programme-materials-engineering-300</t>
  </si>
  <si>
    <t>Microtechnology</t>
  </si>
  <si>
    <t>Nanotechnology</t>
  </si>
  <si>
    <t>Material analysis</t>
  </si>
  <si>
    <t>Construction Engineering</t>
  </si>
  <si>
    <t>Bachelor of Science in Engineering programme</t>
  </si>
  <si>
    <t>Do you want to be part of building the sustainable society of the future where new buildings are designed climate-smart and old ones are rebuilt instead of demolished? In line with the densification of cities and the constant need for renovation, the need for construction engineers with knowledge of sustainable and energy-efficient construction technology is increasing. The Bachelor's Programme in Construction Engineering provides you with an education based on the knowledge and technology that is in demand by business and society. Note! This programme requires knowledge of Swedish.</t>
  </si>
  <si>
    <t>https://www.uu.se/en/study/programme/bachelors-programme-construction-engineering</t>
  </si>
  <si>
    <t>Construction production</t>
  </si>
  <si>
    <t>Cad, Leadership</t>
  </si>
  <si>
    <t>Construction</t>
  </si>
  <si>
    <t>Management</t>
  </si>
  <si>
    <t>Do you want to contribute to replacing fossil fuels with renewable energy sources, expand electric power or work for the sustainable development of electric cars? This can become a reality if you study the Bachelor's Programme in Electrical Engineering. As an electrical engineer, you understand how technology works and how it can be used to create tomorrow's products. This is sought after in an industry with a great need for expertise both in Sweden and abroad. Note! This programme requires knowledge of Swedish.</t>
  </si>
  <si>
    <t>https://www.uu.se/en/study/programme/bachelors-programme-electrical-engineering</t>
  </si>
  <si>
    <t>Electronics</t>
  </si>
  <si>
    <t>Sustainable Development in Industrial Engineering</t>
  </si>
  <si>
    <t>Do you want to help develop a more sustainable industry? Do you enjoy leading others and want to be part of influencing the future of business? Then the Bachelor's Programme in Sustainable Development in Industrial Engineering is definitely an option for you. In the program, you will learn about digitalization, change management and sustainable development, among other things, in close collaboration with potential future employers. Note! This programme requires knowledge of Swedish.</t>
  </si>
  <si>
    <t>https://www.uu.se/en/study/programme/bachelors-programme-sustainable-development-industrial-engineering</t>
  </si>
  <si>
    <t>Engineering competence,</t>
  </si>
  <si>
    <t>Applied nuclear technology</t>
  </si>
  <si>
    <t>Nuclear Engineering</t>
  </si>
  <si>
    <t>Are you interested in large-scale advanced energy technology with great importance for Swedish society? Then the Bachelor's Programme in Nuclear Engineering is for you. The education gives you the opportunity to work as an engineer in the nuclear power industry or one of its many subcontractors, with good opportunities for development and career. The program is one year and you must have previously studied at least two years in a bachelor's or master's engineering program. Note! This programme requires knowledge of Swedish.</t>
  </si>
  <si>
    <t>https://www.uu.se/en/study/programme/bachelors-programme-nuclear-engineering</t>
  </si>
  <si>
    <t>Product development,</t>
  </si>
  <si>
    <t>Production management</t>
  </si>
  <si>
    <t>Manufacturing</t>
  </si>
  <si>
    <t>Automation</t>
  </si>
  <si>
    <t>Mechanical Engineering</t>
  </si>
  <si>
    <t>Mechanical engineers are needed wherever physical products are designed and manufactured. At the Bachelor's Programme in Mechanical Engineering at Uppsala University, you will learn the entire process of developing new technology from idea to finished product. You will also learn how to realize your ideas by working with product development. As a graduate of mechanical engineering, you can work on developing tomorrow's products within manufacturing technology companies. Note! This programme requires knowledge of Swedish.</t>
  </si>
  <si>
    <t>https://www.uu.se/en/study/programme/bachelors-programme-mechanical-engineering</t>
  </si>
  <si>
    <t>Medical technology,</t>
  </si>
  <si>
    <t>Medical physics</t>
  </si>
  <si>
    <t>Anatomy</t>
  </si>
  <si>
    <t>Physiology</t>
  </si>
  <si>
    <t>Biomedical Engineering</t>
  </si>
  <si>
    <t>Do you want to develop tomorrow's medical technology products that can save lives, make early diagnoses and facilitate the initiation of the right treatment? Are you attracted to a rapidly growing and interdisciplinary industry, while at the same time wanting to contribute to improved health and healthcare? Then the Bachelor's Programme in Biomedical Engineering could be something for you. Note! This programme requires knowledge of Swedish.</t>
  </si>
  <si>
    <t>https://www.uu.se/en/study/programme/bachelors-programme-biomedical-engineering</t>
  </si>
  <si>
    <t>Medical technology</t>
  </si>
  <si>
    <t>Biology/Molecular Biology</t>
  </si>
  <si>
    <t>Bachelor's programme</t>
  </si>
  <si>
    <t>Biology encompasses everything from ecology and the environment to molecular biology and genetics. What characterizes Biologysts from Uppsala University is their broad expertise. With one of the country's largest selections of courses in biology and molecular biology, you choose what kind of Biologyst you want to become. With us, you receive an education that includes in-depth factual knowledge, the ability to solve problems and communicate, think analytically and work scientifically. Note! This programme requires knowledge of Swedish.</t>
  </si>
  <si>
    <t>https://www.uu.se/en/study/programme/bachelors-programme-biology</t>
  </si>
  <si>
    <t>Biology</t>
  </si>
  <si>
    <t>Molecular biology</t>
  </si>
  <si>
    <t>Statistics</t>
  </si>
  <si>
    <t>Mathematical models</t>
  </si>
  <si>
    <t>Evolutional biology</t>
  </si>
  <si>
    <t>Ecology</t>
  </si>
  <si>
    <t>Biochemistry</t>
  </si>
  <si>
    <t>Computer Science</t>
  </si>
  <si>
    <t>Computers are used everywhere. Someone has to program them and make sure the software is user-friendly and works as it should. The Bachelor's Programme in Computer Science gives you knowledge and skills in modern information technology and sustainable software development. After completing your education, you can work on developing future IT solutions at IT companies or in an IT department in another industry. Note! This programme requires knowledge of Swedish.</t>
  </si>
  <si>
    <t>https://www.uu.se/en/study/programme/bachelors-programme-computer-science</t>
  </si>
  <si>
    <t>Do you want to understand the laws and processes of nature? Calculate the forces that hold an atomic nucleus together or that act on a golf ball at the tee? The Bachelor's Programme in Physics gives you solid knowledge in physics and the mathematical tools you need. Uppsala University's unique environment with world-leading research and expertise in most areas of physics allows you to delve deeper based on your interests. Note! This programme requires knowledge of Swedish.</t>
  </si>
  <si>
    <t>https://www.uu.se/en/study/programme/bachelors-programme-physics-physics</t>
  </si>
  <si>
    <t>Scientific approach</t>
  </si>
  <si>
    <t>Fundamental physics</t>
  </si>
  <si>
    <t>Problem solving</t>
  </si>
  <si>
    <t>Earth Science</t>
  </si>
  <si>
    <t>Discover the dynamics and history of the Earth. With us you will learn about rocks and minerals, the development of life, the air, the climate and the Earth's natural resources. The education mixes theory and practice and in many courses the teaching is conducted in the field. After the education you can work with community planning, environmental studies, climate issues, mineral and water resources or in tourism or information professions. The job market is good. Note! This programme requires knowledge of Swedish.</t>
  </si>
  <si>
    <t>https://www.uu.se/en/study/programme/bachelors-programme-earth-science</t>
  </si>
  <si>
    <t>Geological science</t>
  </si>
  <si>
    <t>GIS</t>
  </si>
  <si>
    <t>Sedimentology</t>
  </si>
  <si>
    <t>Chemistry</t>
  </si>
  <si>
    <t>For those of you who have imagination, curiosity and creativity, the subject of chemistry has many exciting areas to offer. New subjects are created every day in the hope of finding smarter materials, new medicines and gaining new insights into how nature works. From the latest cancer drug to innovative computer technology, from the development of alternative energy sources to the study of distant galaxies. Chemistry is a central and exciting science, read about the Bachelor's Programme in Chemistry at Uppsala University! Note! This programme requires knowledge of Swedish.</t>
  </si>
  <si>
    <t>https://www.uu.se/en/study/programme/bachelors-programme-chemistry</t>
  </si>
  <si>
    <t>Laboratory work</t>
  </si>
  <si>
    <t>Analytical chemistry</t>
  </si>
  <si>
    <t>Organic chemistry</t>
  </si>
  <si>
    <t>Non-organic chemistry</t>
  </si>
  <si>
    <t>Physical chemistry</t>
  </si>
  <si>
    <t>Leadership – Quality Management – Improvement</t>
  </si>
  <si>
    <t>Would you like to lead and develop the companies and organisations of the future from a long-term sustainability perspective? The Bachelor's Programme in Leadership - Quality - Improvement will give you knowledge and tools for leadership and business development. You will study development based on social, ecological, and economic sustainability. The course applies a long-term perspective to business development where profit is not contingent on other stakeholders' losses.</t>
  </si>
  <si>
    <t>https://www.uu.se/en/study/programme/bachelors-programme-leadership-quality-management-improvement</t>
  </si>
  <si>
    <t>Leadership</t>
  </si>
  <si>
    <t>Project management</t>
  </si>
  <si>
    <t>Mathematics</t>
  </si>
  <si>
    <t>Bachelor's programmes</t>
  </si>
  <si>
    <t>Mathematics is needed everywhere. It is applied in everything from economics to philosophy and is crucial for solving major challenges in areas such as climate, security, health and for progress in natural science research. In the Bachelor's program in Mathematics, you will gain a deeper understanding of mathematics so that you can adapt and apply it to the situation to solve complex problems. The demand for mathematical skills is high and the career paths are many. Note! This programme requires knowledge of Swedish.</t>
  </si>
  <si>
    <t>https://www.uu.se/en/study/programme/bachelors-programme-mathematics</t>
  </si>
  <si>
    <t>Logic</t>
  </si>
  <si>
    <t>Additive Manufacturing</t>
  </si>
  <si>
    <t>Master's programme</t>
  </si>
  <si>
    <t>Build a brighter and more efficient future, layer by layer. Through the Master's Programme in Additive Manufacturing, you will learn to create complex physical objects through 3D printing and computer-assisted design processes in materials ranging from amorphous metals to biocompatible materials. Become a part of the initiative that gathers research and education in the field of additive manufacturing at the Ångström Laboratory, one of Europe's most advanced laboratories on functional materials.</t>
  </si>
  <si>
    <t>https://www.uu.se/en/study/programme/masters-programme-additive-manufacturing</t>
  </si>
  <si>
    <t>Materials technology</t>
  </si>
  <si>
    <t>Additive manufacturing</t>
  </si>
  <si>
    <t>Analytical Chemistry – EACH</t>
  </si>
  <si>
    <t>This international two-year master programme, EACH - Excellence in Analytical Chemistry, is for those who want to become a specialist in analytical chemistry and well qualified to work in both industry and chemical analysis laboratories worldwide. The programme provides you with the knowledge and skills needed in both basic and applied aspects of modern analytical chemistry.</t>
  </si>
  <si>
    <t>https://www.uu.se/en/study/programme/masters-programme-analytical-chemistry-each</t>
  </si>
  <si>
    <t>Sample preparation</t>
  </si>
  <si>
    <t>Battery Technology and Energy Storage</t>
  </si>
  <si>
    <t>The Master's Programme in Battery Technology and Energy Storage prepares you for a career in both world-class academic research and the Swedish battery/electromobility industry, where qualified professionals are in high demand. Through the programme, you will gain a keen understanding of the fundamentals of battery materials, cells and systems to be able to participate in both academic and industrial research in this expansive labour market.</t>
  </si>
  <si>
    <t>https://www.uu.se/en/study/programme/masters-programme-battery-technology-and-energy-storage</t>
  </si>
  <si>
    <t>Energy storage</t>
  </si>
  <si>
    <t>Battery technology</t>
  </si>
  <si>
    <t>Materials chemistry</t>
  </si>
  <si>
    <t>Image Analysis and Machine Learning</t>
  </si>
  <si>
    <t>Do you want to contribute to the visual intelligence of the machines of tomorrow? Then the Master's Programme in Image Analysis and Machine Learning is for you. By specialising in the twin fields of image analysis and machine learning, you will help build a better world through pattern recognition and visual data processing. You'll be able to work in areas like medicine, life sciences, the humanities, robotics, astronomy, material science and security.</t>
  </si>
  <si>
    <t>https://www.uu.se/en/study/programme/masters-programme-image-analysis-and-machine-learning</t>
  </si>
  <si>
    <t>Image analysis</t>
  </si>
  <si>
    <t>Biophysics</t>
  </si>
  <si>
    <t>"What is Life?" asked Schrödinger as he was trying to fuse biology and physics. Join the Master's Programme in Biophysics to find out how to understand complex Biologycal systems at the molecular level, using fundamental physics concepts and methods. The cross-disciplinary nature of biophysics has fostered great scientific advances, and it will enable you to create future technologies and gain the skills to explore the mysteries of life.</t>
  </si>
  <si>
    <t>https://www.uu.se/en/study/programme/masters-programme-biophysics</t>
  </si>
  <si>
    <t>Bioinformatics – Biology Background</t>
  </si>
  <si>
    <t>Do you want to understand the function of human genetic predisposition, recreate relationships between species or develop new drugs? The Master's programme in bioinformatics offers you an education in the interdisciplinary field of bioinformatics, where theory and practice from mathematics, computer science and biology are woven together. With the knowledge you gain, you will be able to contribute to the rapid development of bioinformatics.</t>
  </si>
  <si>
    <t>https://www.uu.se/en/study/programme/masters-programme-bioinformatics-biology-background</t>
  </si>
  <si>
    <t>Bioinformatics</t>
  </si>
  <si>
    <t>Data Science – Data Engineering</t>
  </si>
  <si>
    <t>With a Master's degree in Data Science, specialising in Data Engineering, you will learn how to process data on distributed and high-performance computer systems to extract knowledge from large amounts of data. You will possess knowledge with a large area of application, from helping to solve the great societal problems of our time to working at companies of all sizes and areas to identify target groups and optimise their products and revenues.</t>
  </si>
  <si>
    <t>https://www.uu.se/en/study/programme/masters-programme-data-science-data-engineering</t>
  </si>
  <si>
    <t>There is a great need for experts in computing with more than just basic training. The Master's Programme in Computer Science lets you customise and tailor your education to your own interests, with courses led by internationally active researchers. With a focus on creativity and problem-solving, this programme prepares you for an advanced international career in both industry and research.</t>
  </si>
  <si>
    <t>https://www.uu.se/en/study/programme/masters-programme-computer-science</t>
  </si>
  <si>
    <t>Computer science</t>
  </si>
  <si>
    <t>All-Electric Propulsion Systems</t>
  </si>
  <si>
    <t>The electrification of the transport sector is happening now. Do you want to be part of this change? The Master's Programme in All-Electric Propulsion Systems will help you develop expertise in electromobility and the engineering skills required to meet the demands of the evolving automotive industry. Uppsala University together with partners from the industry will provide a unique programme that offers specialised courses in electric vehicles.</t>
  </si>
  <si>
    <t>https://www.uu.se/en/study/programme/masters-programme-all-electric-propulsion-systems</t>
  </si>
  <si>
    <t>Electromobility</t>
  </si>
  <si>
    <t>Electrification</t>
  </si>
  <si>
    <t>Control systems</t>
  </si>
  <si>
    <t>Physics – Energy Physics</t>
  </si>
  <si>
    <t>The reliable supply of energy at low cost and with low environmental impact is one of our time's crucial challenges. The world is in high demand for professionals to tackle it, both in academia and industry. As a student in the Master's Programme in Physics specialising in Energy Physics, you will get prepared by learning energy conversion processes on their physics, such as fluid mechanics, thermodynamics, electromagnetism and nuclear physics. Note! As of the autumn semester 2025, this specialisation of the Master's Programme in Physics will be replaced by the specialisation Physics of Sustainable Energy and Complex Systems.</t>
  </si>
  <si>
    <t>https://www.uu.se/en/study/programme/masters-programme-physics-energy-physics</t>
  </si>
  <si>
    <t>Energy physics</t>
  </si>
  <si>
    <t>Evolutionary Biology – MEME</t>
  </si>
  <si>
    <t>The Master's Programme in Evolutionary Biology (MEME) is a research-oriented Erasmus Mundus programme. It involves studies at four leading universities in Europe and Harvard University in the US. This ensures you a first-class education and you can tailor your programme according to your career plan and integrate areas such as evolutionary ecology, genomics, macroevolution and developmental biology.</t>
  </si>
  <si>
    <t>https://www.uu.se/en/study/programme/masters-programme-evolutionary-biology-meme</t>
  </si>
  <si>
    <t>Mathematics – Financial Mathematics</t>
  </si>
  <si>
    <t>Understanding and navigating today’s rapidly changing, global economic and financial landscapes requires strong skills in mathematics. This Master’s Programme in Financial Mathematics provides you with ample opportunities to pursue a career in an area where there is a growing global shortage of highly qualified people. After graduation, you will be able to work with complex financial data, arriving at innovative solutions to challenges in a variety of business contexts.</t>
  </si>
  <si>
    <t>https://www.uu.se/en/study/programme/masters-programme-mathematics-financial-mathematics</t>
  </si>
  <si>
    <t>Financial mathematics</t>
  </si>
  <si>
    <t>Renewable Electricity Production</t>
  </si>
  <si>
    <t>The Master's Programme in Renewable Electricity Production offers you an education in electrical power systems and renewable electricity generation. The electric grid in the world is facing a great shift, and the electric transmission system is accommodating an increasing share of renewable energy sources. Qualified professionals in the energy field are in high demand and this programme will help you develop an attractive profile for the labour market.</t>
  </si>
  <si>
    <t>https://www.uu.se/en/study/programme/masters-programme-renewable-electricity-production</t>
  </si>
  <si>
    <t>Physics – Physics of Sustainable Energy and Complex Systems</t>
  </si>
  <si>
    <t>The reliable supply of energy at low cost and with low environmental impact is one of our time's crucial challenges. The world is in high demand for professionals to tackle it, both in academia and industry. As a student in the Master's Programme in Physics specialising in physics of sustainable energy and complex systems, you will get prepared by learning energy conversion processes of their physics, such as fluid mechanics, thermodynamics, electromagnetism and nuclear physics.</t>
  </si>
  <si>
    <t>https://www.uu.se/en/study/programme/masters-programme-physics-sustainable-energy</t>
  </si>
  <si>
    <t>Physics – Astronomy and Space Physics</t>
  </si>
  <si>
    <t>How does the Earth's magnetic field work? What do we know about other planets and exoplanets? How do stars evolve, how do their lives end? How was the Milky Way formed? What controls the evolution of the universe? The specialisation in Astronomy and Space Physics in the Master’s programme in Physics addresses these questions. You will gain a deep understanding of various physical phenomena ranging from space beyond the Earth's atmosphere to the limits of the observable universe.</t>
  </si>
  <si>
    <t>https://www.uu.se/en/study/programme/masters-programme-physics-astronomy-and-space-physics</t>
  </si>
  <si>
    <t>Astronomy</t>
  </si>
  <si>
    <t>Chemistry – Physical Chemistry</t>
  </si>
  <si>
    <t>Do you want to learn in depth about important physical and chemical processes at a molecular level, combining theory and advanced experimental techniques? The specialisation in Physical chemistry will allow you to understand and control many of the fundamental processes important for the transition to a sustainable society. After graduation, you will be well-prepared to undertake research and development in both academia and industry.</t>
  </si>
  <si>
    <t>https://www.uu.se/en/study/programme/masters-programme-chemistry-physical-chemistry</t>
  </si>
  <si>
    <t xml:space="preserve">Physical chemistry </t>
  </si>
  <si>
    <t>Physics – Geophysics</t>
  </si>
  <si>
    <t>How does planet Earth work and how can we explore the processes that form our planet? In Geophysics, we use tools and methods from physics to explore the Earth. The Geophysics specialisation of the Master's Programme in Physics allows you to combine your physics knowledge with field data and laboratory experiments to get a deeper understanding of the solid Earth.</t>
  </si>
  <si>
    <t>https://www.uu.se/en/study/programme/masters-programme-physics-Geophysics</t>
  </si>
  <si>
    <t>Geophysics</t>
  </si>
  <si>
    <t>Sustainable and Innovative Natural Resource Management – SINReM</t>
  </si>
  <si>
    <t>Do you want to be involved in the green transition for sustainable exploration and extraction of mineral resources? The Master's Programme in Sustainable and Innovative Natural Resource Management – SINReM allows you to study, research, and start your own business. This international programme will bring together the foundation of your career and a paradigm shift in the industry to carefully and sustainably deal with the Earth's resources.</t>
  </si>
  <si>
    <t>https://www.uu.se/en/study/programme/masters-programme-sustainable-and-innovative-natural-resource-management-sinrem</t>
  </si>
  <si>
    <t>Sustainable Development</t>
  </si>
  <si>
    <t>Do you want to gain the knowledge and skills required to deal with complex challenges towards sustainable development? Are you interested in conducting your studies with a diverse group of international students? Do you aspire to co-create sustainable futures? The Master's Programme in Sustainable Development is built on the three pillars - interdisciplinarity, systems thinking and future orientation - that permeate our courses.</t>
  </si>
  <si>
    <t>https://www.uu.se/en/study/programme/masters-programme-sustainable-development</t>
  </si>
  <si>
    <t>Embedded Systems</t>
  </si>
  <si>
    <t>Do you want to learn how to construct and analyse embedded systems and ensure their proper functioning? Then the Master Programme in Embedded Systems is right for you. The programme provides you with an in-depth education in computer and systems science for embedded systems, emphasising software design, implementation and analysis. You will also gain skills in writing software in different development environments and programming paradigms.</t>
  </si>
  <si>
    <t>https://www.uu.se/en/study/programme/masters-programme-embedded-systems</t>
  </si>
  <si>
    <t>Systems science</t>
  </si>
  <si>
    <t>Industrial Analytics</t>
  </si>
  <si>
    <t>Do you want to develop the next generation of digital and sustainable industrial systems based on unique expertise in both industrial engineering and computer science? The Master Program in Industrial Analysis is unique in its kind and combines subjects such as systems analysis, data analysis, AI and simulation. As a student in the program, you will study in a highly topical area where the need for skills is growing very rapidly.</t>
  </si>
  <si>
    <t>https://www.uu.se/en/study/programme/masters-programme-industrial-analytics</t>
  </si>
  <si>
    <t>Industrial Management and Innovation</t>
  </si>
  <si>
    <t>Would you like to have a career that revolves around managing innovation? Uppsala University offers you a good base for a career in technology-intensive and innovative businesses. Whether you start your own business or work for an established company, the Master's Programme in Industrial Management and Innovation provides you with a deep understanding and a variety of tools to manage complex innovation processes.</t>
  </si>
  <si>
    <t>https://www.uu.se/en/study/programme/masters-programme-industrial-management-and-innovation</t>
  </si>
  <si>
    <t>Industrial management</t>
  </si>
  <si>
    <t>Physics – Nuclear and Particle Physics</t>
  </si>
  <si>
    <t>Do you want to understand nature at the fundamental level and explore the Universe’s most violent phenomena? Do you want to learn theoretical and experimental methods used by researchers in the field? Then the specialisation in Nuclear and Particle Physics, in the Master's Programme in Physics, suits you. The research is both theoretical and experimental, and the technology that makes the experiments possible is also used in other fields, such as engineering, finance, and medicine.</t>
  </si>
  <si>
    <t>https://www.uu.se/en/study/programme/masters-programme-physics-nuclear-and-particle-physics</t>
  </si>
  <si>
    <t>Nuclear physics</t>
  </si>
  <si>
    <t>Particle physics</t>
  </si>
  <si>
    <t>Chemistry – Bio and Nano Materials</t>
  </si>
  <si>
    <t>Are you ready to dive into the exciting world where science meets innovation? Our specialisation in Bio and Nano Materials within the Master’s programme in Chemistry is your gateway to a world of endless possibilities in biomedicine, pharmaceuticals and materials. In this dynamic and interdisciplinary programme, you will explore both theory and practical applications, preparing you for a career at the forefront of science and new product development.</t>
  </si>
  <si>
    <t>https://www.uu.se/en/study/programme/masters-programme-chemistry-bio-and-nano-materials</t>
  </si>
  <si>
    <t>Chemistry,</t>
  </si>
  <si>
    <t>Chemistry – Chemistry for Renewable Energy</t>
  </si>
  <si>
    <t>The transition to a society based on renewable energy is happening now and you can be part of the change. The specialisation Chemistry for Renewable Energy within the Master's Programme in Chemistry, will provide you with cutting-edge expertise in the fascinating chemistry needed in the development of new solutions for sustainable production of electricity as well as energy storage. After graduation, you will be prepared for a future within academia or research and development in industry.</t>
  </si>
  <si>
    <t>https://www.uu.se/en/study/programme/masters-programme-chemistry-chemistry-for-renewable-energy</t>
  </si>
  <si>
    <t>Chemistry – Chemical Biology</t>
  </si>
  <si>
    <t>Do you want to be part of groundbreaking research? The Master's Programme in Chemistry specialisation in Chemical Biology is closely linked to world-leading research and you will have the chance to do your thesis within a broad, dynamic and modern research environment. With courses covering organic molecules and Biologycal macromolecules, you will be well-prepared for a future in biotechnology and drug development.</t>
  </si>
  <si>
    <t>https://www.uu.se/en/study/programme/masters-programme-chemistry-chemical-biology</t>
  </si>
  <si>
    <t>Quantum Technology</t>
  </si>
  <si>
    <t>The Master's Programme in Quantum Technology prepares you for the emerging quantum revolution. Gain expertise in optical, electronic, and magnetic quantum phenomena, applying them to advancing technologies. Benefit from hands-on projects led by frontline experts in quantum innovation in an international environment with state-of-the-art facilities. This programme equips you for success in academia and industry.</t>
  </si>
  <si>
    <t>https://www.uu.se/en/study/programme/masters-programme-quantum-technology</t>
  </si>
  <si>
    <t>Quantum technology</t>
  </si>
  <si>
    <t>Quantum physics</t>
  </si>
  <si>
    <t>Biotechnology</t>
  </si>
  <si>
    <t xml:space="preserve"> Data analysis</t>
  </si>
  <si>
    <t>Bioinformatics – Computer Science Background</t>
  </si>
  <si>
    <t>Do you have a computer science background and wish to focus on the exciting interdisciplinary field of bioinformatics? If you want to combine computer science, mathematics and biology, then the Master's Programme in Bioinformatics is designed for you. The knowledge you will acquire is central to many areas of research, such as studying genetic diseases in humans, building the tree of life or developing new types of pharmaceuticals.</t>
  </si>
  <si>
    <t>https://www.uu.se/en/study/programme/masters-programme-bioinformatics-computer-science-background</t>
  </si>
  <si>
    <t>Data analysis,</t>
  </si>
  <si>
    <t>Biology – Cell and Molecular Biology</t>
  </si>
  <si>
    <t>Understanding the molecular mechanisms behind the function, reproduction and communication of cells is fundamental for the understanding of multi-cellular animals and plants. The combination of cell and molecular biology in the Master's Programme in Biology, specialising in Cell and Molecular Biology, encourages you to develop a deep insight into Biologycal systems, from molecular interactions at the subatomic level to complex systems and their interactions in cells and organelles.</t>
  </si>
  <si>
    <t>https://www.uu.se/en/study/programme/masters-programme-biology-cell-and-molecular-biology</t>
  </si>
  <si>
    <t>Biology,</t>
  </si>
  <si>
    <t>Biology – Ecology and Conservation</t>
  </si>
  <si>
    <t>Do you want to work with nature conservation, or do research in ecology or conservation? The Master's Programme in Biology, specialising in Ecology and Conservation is a perfect choice for you. Ecology deals with interactions between organisms and the environment. It is a meeting point for many Biologycal fields. Conservation is about the understanding of our natural and cultural heritage, as well as how to manage the Earth's biodiversity in the best possible way.</t>
  </si>
  <si>
    <t>https://www.uu.se/en/study/programme/masters-programme-biology-ecology-and-conservation</t>
  </si>
  <si>
    <t>Biology – Ecosystems and Aquatic Ecology</t>
  </si>
  <si>
    <t>Med inriktningen ekosystem och akvatisk Ecology inom masterprogrammet i Biology tar du ett helhetsgrepp på naturen. Du lär dig hur ekosystem fungerar med tyngdpunkt på sjöar och vattendrag. Genom kunskap om fysiska, Chemistryska och framför allt Biologyska processer och deras interaktioner, lär du känna hur naturens ekosystem fungerar och hur människan påverkar dem. Utbildningen har starka kopplingar till yrkesverksamhet inom vatten- och naturvård, och ansluter till pågående forskning.</t>
  </si>
  <si>
    <t>https://www.uu.se/utbildning/program/masterprogram-Biology-ekosystem-och-akvatisk-Ecology</t>
  </si>
  <si>
    <t>The Master's Programme in Biology, specialising in Ecosystems and Aquatic Ecology, adopts a holistic perspective on nature. The focus is on lakes and rivers as well as their physical, chemical and, in particular, Biologycal processes. By studying their interactions, you will become acquainted with how ecosystems work and how humans affect them. This specialisation prepares you for jobs in water and natural resource management and is connected to ongoing research.</t>
  </si>
  <si>
    <t>https://www.uu.se/en/study/programme/masters-programme-biology-ecosystems-and-aquatic-ecology</t>
  </si>
  <si>
    <t>Biology – Immunology and Microbiology</t>
  </si>
  <si>
    <t>Master's Programme in Biology, specialising in Immunology and Microbiology, focuses on how the immune system discovers and removes pathogenic bacteria, viruses and parasites. In addition to studies in microbiology, analyses are also made of events at cellular and molecular levels when the immune system overreacts or has insufficient tolerance towards body tissue when, for instance, allergies and autoimmunity arise. Students in this program will be well-equipped to pursue a wide range of careers in biomedical research, healthcare, and public health.</t>
  </si>
  <si>
    <t>https://www.uu.se/en/study/programme/masters-programme-biology-immunology-and-microbiology</t>
  </si>
  <si>
    <t>Biology – Environmental Toxicology</t>
  </si>
  <si>
    <t>Biodiversity and human health are threatened by chemicals, affecting wildlife and humans at molecular, organismal, and population levels. Identifying chemical hazards and managing risks today and in the future, helps us develop strategies to mitigate pollution effects, safeguard biodiversity, and protect human health. If you consider this important, the Master's Programme in Biology, specialising in Environmental Toxicology, is definitely for you.</t>
  </si>
  <si>
    <t>https://www.uu.se/en/study/programme/masters-programme-biology-environmental-toxicology</t>
  </si>
  <si>
    <t>Biology – NABiS – Nordic Master in Biodiversity and Systematics</t>
  </si>
  <si>
    <t>All the diversity of organisms on our planet and their evolutionary relationships are in focus for the students in the Nordic Academy of Biodiversity and Systematics (NABiS), a specialisation within the Master's Programme in Biology. With morphological and molecular tools, our knowledge about biodiversity in a broad sense is growing. If you want to answer questions about evolution, biogeography and the origin of all variation, this is the specialisation for you.</t>
  </si>
  <si>
    <t>https://www.uu.se/en/study/programme/masters-programme-biology-nabis-nordic-master-biodiversity-and-systematics</t>
  </si>
  <si>
    <t>Data Science – Machine Learning and Statistics</t>
  </si>
  <si>
    <t>Are you interested in immersing yourself in large amounts of data? Maybe you want to develop your knowledge to help solve some of today's societal problems. With a Master's degree in Data Science, specialising in machine learning and Statistics, you'll learn how to make advanced statistical analyses and extract knowledge from big quantities of data.</t>
  </si>
  <si>
    <t>https://www.uu.se/en/study/programme/masters-programme-data-science-machine-learning-and-Statistics</t>
  </si>
  <si>
    <t>Earth Science – Geology</t>
  </si>
  <si>
    <t>Do you want to be involved in the green transition for sustainable exploration and extraction of mineral resources? Contribute to safe and sustainable locations of buildings, tunnels or nuclear waste? Have an impact on informed natural hazard mitigation associated with volcanoes and landslides? The Master's Programme in Earth Science, specialising in Geology, will enable you to contribute to the sustainable use of Earth's resources for the future.</t>
  </si>
  <si>
    <t>https://www.uu.se/en/study/programme/masters-programme-earth-science-geology</t>
  </si>
  <si>
    <t>Earth Science – Hydrology/Hydrogeology</t>
  </si>
  <si>
    <t>Are you fascinated by water’s journey from rainfall to rivers and groundwater, tracing its path through the landscape and its environmental interactions? If you are passionate about managing water resources or addressing water-related disasters, the Master's Programme in Earth Science is for you! The specialisation in Hydrology/Hydrogeology allows you to study hydrological processes including runoff, groundwater formation, flow and much more.</t>
  </si>
  <si>
    <t>https://www.uu.se/en/study/programme/masters-programme-earth-science-hydrology-hydrogeology</t>
  </si>
  <si>
    <t>Geoscience,</t>
  </si>
  <si>
    <t>Earth Science – Physical Geography</t>
  </si>
  <si>
    <t>Do you want to learn about the forces and processes that shape Earth's surface through time, and how these are linked to changes in our climate and environment? Are you concerned about the human imprint on the landscape that surrounds you? The Master's Programme in Earth Science, specialising in Physical Geography, provides you with the knowledge, methods and skills to address these and other questions.</t>
  </si>
  <si>
    <t>https://www.uu.se/en/study/programme/masters-programme-earth-science-physical-geography</t>
  </si>
  <si>
    <t>Phsyical geography</t>
  </si>
  <si>
    <t>Environmental change</t>
  </si>
  <si>
    <t>Earth Science – Palaeobiology</t>
  </si>
  <si>
    <t>Are you interested in how life on Earth looked millions of years ago? Do you want to understand how life, climate and the environment have evolved and been influenced by Earth's chemical and physical changes over time? The Master's Programme in Earth Science, specialising in Palaeobiology, combines research in geosciences with the Biologycal sciences to recreate and understand the evolutionary changes that have taken place throughout history.</t>
  </si>
  <si>
    <t>https://www.uu.se/en/study/programme/masters-programme-earth-science-palaeobiology</t>
  </si>
  <si>
    <t>Paleobiology</t>
  </si>
  <si>
    <t>Are you looking to strengthen your mathematical abilities and immerse yourself in the universe of mathematics itself? With the insights gained into the central and current research areas in mathematics in this programme, you will be able to take on a leading role as an expert able to solve abstract and theoretical problems in the field. The skills and competence you gain can be applied in a variety of areas and are highly valued – no matter what career path you choose.</t>
  </si>
  <si>
    <t>https://www.uu.se/en/study/programme/masters-programme-mathematics-mathematics</t>
  </si>
  <si>
    <t>Physics – Mathematical Physics</t>
  </si>
  <si>
    <t>If you are eager to understand fundamental physics but are equally captivated by the elegance of mathematics, and if you enjoy performing explicit computations yet seek the underlying succinct patterns, then mathematical physics is the specialisation for you. Guided by world-renowned professionals, learn how to combine physical intuition with mathematical abstraction and rigour, and become a creator of the language that will drive future research.</t>
  </si>
  <si>
    <t>https://www.uu.se/en/study/programme/masters-programme-physics-mathematical-physics</t>
  </si>
  <si>
    <t>Physics,</t>
  </si>
  <si>
    <t>Innovation in materials creates opportunities for development in all other fields of technology. The availability of raw materials is finite, so there is a growing need to develop new sustainable materials and technologies. The Master's programme in Materials Engineering teaches you to deal with these challenges. The programme is taught at the Ångström Laboratory where world-leading research in materials and energy is conducted.</t>
  </si>
  <si>
    <t>https://www.uu.se/en/study/programme/masters-programme-materials-engineering</t>
  </si>
  <si>
    <t>Materials Science</t>
  </si>
  <si>
    <t>Innovation in material science creates opportunities for development in all other fields of technology. The availability of raw materials is finite, so there is a growing need to develop new sustainable materials and technologies – not least in the energy sector. The Master's Programme in Materials Science prepares you to deal with these challenges, from a sustainability perspective.</t>
  </si>
  <si>
    <t>https://www.uu.se/en/study/programme/masters-programme-materials-science</t>
  </si>
  <si>
    <t>Physics – Meteorology and Climate Physics</t>
  </si>
  <si>
    <t>Are you interested in weather, forecasting, climate and climate change? Then meteorology and climate physics is the right choice for you. You will gain both deep and broad knowledge in these areas and be prepared for a job as, for example, a forecast meteorologist or advisor for companies with weather-dependent activities. You will also be well prepared to embark on doctoral studies or an international career.</t>
  </si>
  <si>
    <t>https://www.uu.se/en/study/programme/masters-programme-physics-meteorology-climate-physics</t>
  </si>
  <si>
    <t>Metrology</t>
  </si>
  <si>
    <t>Chemistry – Organic Chemistry</t>
  </si>
  <si>
    <t>Are you asking yourself how you can be prepared for future research and development in either academia or industry? The answer is here. On our Master's program in Chemistry with a focus on organic chemistry, you are closely linked to world-leading research groups in the field. With teachers who are prominent experts, you will have a unique chance to do your degree project at the forefront of research.</t>
  </si>
  <si>
    <t>https://www.uu.se/en/study/programme/masters-programme-chemistry-organic-chemistry</t>
  </si>
  <si>
    <t>Palaeobiology – PANGEA</t>
  </si>
  <si>
    <t>The history of Earth concerns its development from formation to present day. Do you want to understand how life has evolved and been influenced by chemical and physical changes? Do you want to understand how the climate and environment have changed over time? Learn all of this and more by joining the international and unique Erasmus Mundus Joint Master's Programme in Palaeobiology (PANGEA).</t>
  </si>
  <si>
    <t>https://www.uu.se/en/study/programme/masters-programme-palaeobiology-pangea</t>
  </si>
  <si>
    <t>Physics – Theoretical Physics: Quantum Fields and Strings</t>
  </si>
  <si>
    <t>Study the fundamental laws of the Universe with our Master's specialisation in Theoretical Physics: Quantum Fields and Strings. You will receive the comprehensive training expected of a theoretical physicist. You will acquire the necessary mathematical skills, and explore breakthroughs in gauge and conformal theory, string theory, holography, and more. Guided by eminent scientists, embark on a journey of discovery at the forefront of understanding Nature.</t>
  </si>
  <si>
    <t>https://www.uu.se/en/study/programme/masters-programme-physics-theoretical-physics</t>
  </si>
  <si>
    <t>Chemistry – Theoretical and Computational Chemistry</t>
  </si>
  <si>
    <t>Do you want to develop the molecules and materials for tomorrow using computational and theoretical chemistry combined with novel machine learning techniques? In the specialisation theoretical and computational chemistry, you will dive deep into the most exciting areas of electronic structure calculations, molecular dynamics simulations, and machine learning methods. Let your passion for computational chemistry take you to the next level!</t>
  </si>
  <si>
    <t>https://www.uu.se/en/study/programme/masters-programme-chemistry-theoretical-and-computational-chemistry</t>
  </si>
  <si>
    <t>Computational chemistry</t>
  </si>
  <si>
    <t>Computational science</t>
  </si>
  <si>
    <t>Mathematics – Applied Mathematics and Statistics</t>
  </si>
  <si>
    <t>Most things in the real world are complex – from Biologycal systems to financial markets and industrial processes. Explaining them is crucial to making progress or making decisions, and for this we need solutions to many mathematical problems. This Master’s programme in Applied Mathematics and Statistics provides you with the tools you need to arrive at answers and solutions. After graduation, you will be able to work in a wide variety of industries.</t>
  </si>
  <si>
    <t>https://www.uu.se/en/study/programme/masters-programme-mathematics-applied-mathematics-and-Statistics</t>
  </si>
  <si>
    <t>Water Engineering</t>
  </si>
  <si>
    <t>Access to clean water is a cornerstone of modern society, and the water engineer has a central role in the distribution, storage and purification of this water. At the Master's Programme in Water Engineering, you will learn cutting-edge measurement, simulation and data analysis methods for the sustainable development of water resources in the built and natural environment. The programme has a profile towards digitalisation in the water sector.</t>
  </si>
  <si>
    <t>https://www.uu.se/en/study/programme/masters-programme-water-engineering</t>
  </si>
  <si>
    <t>Wind Power Project Management</t>
  </si>
  <si>
    <t>There is a strong demand for highly qualified professionals to lead wind power projects. The global wind power industry is expanding rapidly, seeking to meet energy needs and achieve low-carbon economic, energy security and environmental goals. This Master's Programme in Wind Power Project Management combines management and technology as well as natural and social sciences to perfectly prepare you for a promising career in the global wind power industry.</t>
  </si>
  <si>
    <t>https://www.uu.se/en/study/programme/masters-programme-wind-power-project-management-120</t>
  </si>
  <si>
    <t>Homepage</t>
  </si>
  <si>
    <t>Välkommen till UTNs komepetensguide. På den här sidan kan du slå upp vilka program på Teknisk-Natuvetenskapliga fakulteten vid Uppsala Universitet som leder till vilka färdigehter och kompetenser. 
Kompetensguiden är framtagen av kåren i dialog med företrädare från universitetet. Syftet är att erbjuda framtida arbetsgivare en bra bild över de utbildningsprogram Uppsala universitet erbjuder inom teknik och naturvetenskap.</t>
  </si>
  <si>
    <t xml:space="preserve">Du kan välja att antingen leta efter en specifik kompetens eller jämföra två olika program med varandra och se vad de leder till för kompetenser.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</si>
</sst>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Outfit"/>
    </font>
    <font>
      <u/>
      <sz val="10.0"/>
      <color rgb="FF0000FF"/>
      <name val="Outfit"/>
    </font>
    <font>
      <sz val="10.0"/>
      <color rgb="FF000000"/>
      <name val="Outfit"/>
    </font>
    <font>
      <sz val="10.0"/>
      <color rgb="FF1F1F1F"/>
      <name val="Outfit"/>
    </font>
    <font>
      <u/>
      <sz val="10.0"/>
      <color rgb="FF000000"/>
      <name val="Outfit"/>
    </font>
    <font>
      <b/>
      <sz val="11.0"/>
      <color theme="1"/>
      <name val="Outfit"/>
    </font>
    <font>
      <sz val="11.0"/>
      <color theme="1"/>
      <name val="Outfit"/>
    </font>
    <font>
      <sz val="10.0"/>
      <color theme="1"/>
      <name val="Arial"/>
    </font>
  </fonts>
  <fills count="3">
    <fill>
      <patternFill patternType="none"/>
    </fill>
    <fill>
      <patternFill patternType="lightGray"/>
    </fill>
    <fill>
      <patternFill patternType="solid">
        <fgColor rgb="FFFFFFFF"/>
        <bgColor rgb="FFFFFFFF"/>
      </patternFill>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right" shrinkToFit="0" vertical="center" wrapText="1"/>
    </xf>
    <xf borderId="0" fillId="0" fontId="2" numFmtId="0" xfId="0" applyAlignment="1" applyFont="1">
      <alignment shrinkToFit="0" vertical="center" wrapText="1"/>
    </xf>
    <xf borderId="1" fillId="0" fontId="3" numFmtId="0" xfId="0" applyAlignment="1" applyBorder="1" applyFont="1">
      <alignment shrinkToFit="0" vertical="center" wrapText="1"/>
    </xf>
    <xf borderId="1" fillId="2" fontId="4" numFmtId="0" xfId="0" applyAlignment="1" applyBorder="1" applyFill="1" applyFont="1">
      <alignment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1" numFmtId="49" xfId="0" applyAlignment="1" applyFont="1" applyNumberFormat="1">
      <alignment shrinkToFit="0" vertical="center" wrapText="1"/>
    </xf>
    <xf borderId="0" fillId="0" fontId="1" numFmtId="0" xfId="0" applyFont="1"/>
    <xf borderId="0" fillId="0" fontId="6" numFmtId="0" xfId="0" applyAlignment="1" applyFont="1">
      <alignment shrinkToFit="0" wrapText="1"/>
    </xf>
    <xf borderId="0" fillId="0" fontId="7" numFmtId="0" xfId="0" applyAlignment="1" applyFont="1">
      <alignment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uu.se/en/study/programme/masters-programme-physics-geophysics" TargetMode="External"/><Relationship Id="rId42" Type="http://schemas.openxmlformats.org/officeDocument/2006/relationships/hyperlink" Target="https://www.uu.se/en/study/programme/masters-programme-sustainable-development" TargetMode="External"/><Relationship Id="rId41" Type="http://schemas.openxmlformats.org/officeDocument/2006/relationships/hyperlink" Target="https://www.uu.se/en/study/programme/masters-programme-sustainable-and-innovative-natural-resource-management-sinrem" TargetMode="External"/><Relationship Id="rId44" Type="http://schemas.openxmlformats.org/officeDocument/2006/relationships/hyperlink" Target="https://www.uu.se/en/study/programme/masters-programme-industrial-analytics" TargetMode="External"/><Relationship Id="rId43" Type="http://schemas.openxmlformats.org/officeDocument/2006/relationships/hyperlink" Target="https://www.uu.se/en/study/programme/masters-programme-embedded-systems" TargetMode="External"/><Relationship Id="rId46" Type="http://schemas.openxmlformats.org/officeDocument/2006/relationships/hyperlink" Target="https://www.uu.se/en/study/programme/masters-programme-physics-nuclear-and-particle-physics" TargetMode="External"/><Relationship Id="rId45" Type="http://schemas.openxmlformats.org/officeDocument/2006/relationships/hyperlink" Target="https://www.uu.se/en/study/programme/masters-programme-industrial-management-and-innovation" TargetMode="External"/><Relationship Id="rId1" Type="http://schemas.openxmlformats.org/officeDocument/2006/relationships/hyperlink" Target="https://www.uu.se/en/study/programme/masters-programme-electrical-engineering" TargetMode="External"/><Relationship Id="rId2" Type="http://schemas.openxmlformats.org/officeDocument/2006/relationships/hyperlink" Target="https://www.uu.se/en/study/programme/masters-programme-energy-systems-engineering" TargetMode="External"/><Relationship Id="rId3" Type="http://schemas.openxmlformats.org/officeDocument/2006/relationships/hyperlink" Target="https://www.uu.se/en/study/programme/masters-programme-industrial-engineering-and-management" TargetMode="External"/><Relationship Id="rId4" Type="http://schemas.openxmlformats.org/officeDocument/2006/relationships/hyperlink" Target="https://www.uu.se/en/study/programme/masters-programme-computer-and-information-engineering" TargetMode="External"/><Relationship Id="rId9" Type="http://schemas.openxmlformats.org/officeDocument/2006/relationships/hyperlink" Target="https://www.uu.se/en/study/programme/masters-programme-engineering-physics" TargetMode="External"/><Relationship Id="rId48" Type="http://schemas.openxmlformats.org/officeDocument/2006/relationships/hyperlink" Target="https://www.uu.se/en/study/programme/masters-programme-chemistry-chemistry-for-renewable-energy" TargetMode="External"/><Relationship Id="rId47" Type="http://schemas.openxmlformats.org/officeDocument/2006/relationships/hyperlink" Target="https://www.uu.se/en/study/programme/masters-programme-chemistry-bio-and-nano-materials" TargetMode="External"/><Relationship Id="rId49" Type="http://schemas.openxmlformats.org/officeDocument/2006/relationships/hyperlink" Target="https://www.uu.se/en/study/programme/masters-programme-chemistry-chemical-biology" TargetMode="External"/><Relationship Id="rId5" Type="http://schemas.openxmlformats.org/officeDocument/2006/relationships/hyperlink" Target="https://www.uu.se/en/study/programme/masters-programme-chemical-engineering" TargetMode="External"/><Relationship Id="rId6" Type="http://schemas.openxmlformats.org/officeDocument/2006/relationships/hyperlink" Target="https://www.uu.se/en/study/programme/masters-programme-environmental-and-water-engineering" TargetMode="External"/><Relationship Id="rId7" Type="http://schemas.openxmlformats.org/officeDocument/2006/relationships/hyperlink" Target="https://www.uu.se/en/study/programme/masters-programme-molecular-biotechnology-engineering" TargetMode="External"/><Relationship Id="rId8" Type="http://schemas.openxmlformats.org/officeDocument/2006/relationships/hyperlink" Target="https://www.uu.se/en/study/programme/masters-programme-sociotechnical-systems-engineering" TargetMode="External"/><Relationship Id="rId73" Type="http://schemas.openxmlformats.org/officeDocument/2006/relationships/hyperlink" Target="https://www.uu.se/en/study/programme/masters-programme-chemistry-theoretical-and-computational-chemistry" TargetMode="External"/><Relationship Id="rId72" Type="http://schemas.openxmlformats.org/officeDocument/2006/relationships/hyperlink" Target="https://www.uu.se/en/study/programme/masters-programme-physics-theoretical-physics" TargetMode="External"/><Relationship Id="rId31" Type="http://schemas.openxmlformats.org/officeDocument/2006/relationships/hyperlink" Target="https://www.uu.se/en/study/programme/masters-programme-computer-science" TargetMode="External"/><Relationship Id="rId75" Type="http://schemas.openxmlformats.org/officeDocument/2006/relationships/hyperlink" Target="https://www.uu.se/en/study/programme/masters-programme-water-engineering" TargetMode="External"/><Relationship Id="rId30" Type="http://schemas.openxmlformats.org/officeDocument/2006/relationships/hyperlink" Target="https://www.uu.se/en/study/programme/masters-programme-data-science-data-engineering" TargetMode="External"/><Relationship Id="rId74" Type="http://schemas.openxmlformats.org/officeDocument/2006/relationships/hyperlink" Target="https://www.uu.se/en/study/programme/masters-programme-mathematics-applied-mathematics-and-statistics" TargetMode="External"/><Relationship Id="rId33" Type="http://schemas.openxmlformats.org/officeDocument/2006/relationships/hyperlink" Target="https://www.uu.se/en/study/programme/masters-programme-physics-energy-physics" TargetMode="External"/><Relationship Id="rId77" Type="http://schemas.openxmlformats.org/officeDocument/2006/relationships/drawing" Target="../drawings/drawing1.xml"/><Relationship Id="rId32" Type="http://schemas.openxmlformats.org/officeDocument/2006/relationships/hyperlink" Target="https://www.uu.se/en/study/programme/masters-programme-all-electric-propulsion-systems" TargetMode="External"/><Relationship Id="rId76" Type="http://schemas.openxmlformats.org/officeDocument/2006/relationships/hyperlink" Target="https://www.uu.se/en/study/programme/masters-programme-wind-power-project-management-120" TargetMode="External"/><Relationship Id="rId35" Type="http://schemas.openxmlformats.org/officeDocument/2006/relationships/hyperlink" Target="https://www.uu.se/en/study/programme/masters-programme-mathematics-financial-mathematics" TargetMode="External"/><Relationship Id="rId34" Type="http://schemas.openxmlformats.org/officeDocument/2006/relationships/hyperlink" Target="https://www.uu.se/en/study/programme/masters-programme-evolutionary-biology-meme" TargetMode="External"/><Relationship Id="rId71" Type="http://schemas.openxmlformats.org/officeDocument/2006/relationships/hyperlink" Target="https://www.uu.se/en/study/programme/masters-programme-palaeobiology-pangea" TargetMode="External"/><Relationship Id="rId70" Type="http://schemas.openxmlformats.org/officeDocument/2006/relationships/hyperlink" Target="https://www.uu.se/en/study/programme/masters-programme-chemistry-organic-chemistry" TargetMode="External"/><Relationship Id="rId37" Type="http://schemas.openxmlformats.org/officeDocument/2006/relationships/hyperlink" Target="https://www.uu.se/en/study/programme/masters-programme-physics-sustainable-energy" TargetMode="External"/><Relationship Id="rId36" Type="http://schemas.openxmlformats.org/officeDocument/2006/relationships/hyperlink" Target="https://www.uu.se/en/study/programme/masters-programme-renewable-electricity-production" TargetMode="External"/><Relationship Id="rId39" Type="http://schemas.openxmlformats.org/officeDocument/2006/relationships/hyperlink" Target="https://www.uu.se/en/study/programme/masters-programme-chemistry-physical-chemistry" TargetMode="External"/><Relationship Id="rId38" Type="http://schemas.openxmlformats.org/officeDocument/2006/relationships/hyperlink" Target="https://www.uu.se/en/study/programme/masters-programme-physics-astronomy-and-space-physics" TargetMode="External"/><Relationship Id="rId62" Type="http://schemas.openxmlformats.org/officeDocument/2006/relationships/hyperlink" Target="https://www.uu.se/en/study/programme/masters-programme-earth-science-hydrology-hydrogeology" TargetMode="External"/><Relationship Id="rId61" Type="http://schemas.openxmlformats.org/officeDocument/2006/relationships/hyperlink" Target="https://www.uu.se/en/study/programme/masters-programme-earth-science-geology" TargetMode="External"/><Relationship Id="rId20" Type="http://schemas.openxmlformats.org/officeDocument/2006/relationships/hyperlink" Target="https://www.uu.se/en/study/programme/bachelors-programme-earth-science" TargetMode="External"/><Relationship Id="rId64" Type="http://schemas.openxmlformats.org/officeDocument/2006/relationships/hyperlink" Target="https://www.uu.se/en/study/programme/masters-programme-earth-science-palaeobiology" TargetMode="External"/><Relationship Id="rId63" Type="http://schemas.openxmlformats.org/officeDocument/2006/relationships/hyperlink" Target="https://www.uu.se/en/study/programme/masters-programme-earth-science-physical-geography" TargetMode="External"/><Relationship Id="rId22" Type="http://schemas.openxmlformats.org/officeDocument/2006/relationships/hyperlink" Target="https://www.uu.se/en/study/programme/bachelors-programme-leadership-quality-management-improvement" TargetMode="External"/><Relationship Id="rId66" Type="http://schemas.openxmlformats.org/officeDocument/2006/relationships/hyperlink" Target="https://www.uu.se/en/study/programme/masters-programme-physics-mathematical-physics" TargetMode="External"/><Relationship Id="rId21" Type="http://schemas.openxmlformats.org/officeDocument/2006/relationships/hyperlink" Target="https://www.uu.se/en/study/programme/bachelors-programme-chemistry" TargetMode="External"/><Relationship Id="rId65" Type="http://schemas.openxmlformats.org/officeDocument/2006/relationships/hyperlink" Target="https://www.uu.se/en/study/programme/masters-programme-mathematics-mathematics" TargetMode="External"/><Relationship Id="rId24" Type="http://schemas.openxmlformats.org/officeDocument/2006/relationships/hyperlink" Target="https://www.uu.se/en/study/programme/masters-programme-additive-manufacturing" TargetMode="External"/><Relationship Id="rId68" Type="http://schemas.openxmlformats.org/officeDocument/2006/relationships/hyperlink" Target="https://www.uu.se/en/study/programme/masters-programme-materials-science" TargetMode="External"/><Relationship Id="rId23" Type="http://schemas.openxmlformats.org/officeDocument/2006/relationships/hyperlink" Target="https://www.uu.se/en/study/programme/bachelors-programme-mathematics" TargetMode="External"/><Relationship Id="rId67" Type="http://schemas.openxmlformats.org/officeDocument/2006/relationships/hyperlink" Target="https://www.uu.se/en/study/programme/masters-programme-materials-engineering" TargetMode="External"/><Relationship Id="rId60" Type="http://schemas.openxmlformats.org/officeDocument/2006/relationships/hyperlink" Target="https://www.uu.se/en/study/programme/masters-programme-data-science-machine-learning-and-statistics" TargetMode="External"/><Relationship Id="rId26" Type="http://schemas.openxmlformats.org/officeDocument/2006/relationships/hyperlink" Target="https://www.uu.se/en/study/programme/masters-programme-battery-technology-and-energy-storage" TargetMode="External"/><Relationship Id="rId25" Type="http://schemas.openxmlformats.org/officeDocument/2006/relationships/hyperlink" Target="https://www.uu.se/en/study/programme/masters-programme-analytical-chemistry-each" TargetMode="External"/><Relationship Id="rId69" Type="http://schemas.openxmlformats.org/officeDocument/2006/relationships/hyperlink" Target="https://www.uu.se/en/study/programme/masters-programme-physics-meteorology-climate-physics" TargetMode="External"/><Relationship Id="rId28" Type="http://schemas.openxmlformats.org/officeDocument/2006/relationships/hyperlink" Target="https://www.uu.se/en/study/programme/masters-programme-biophysics" TargetMode="External"/><Relationship Id="rId27" Type="http://schemas.openxmlformats.org/officeDocument/2006/relationships/hyperlink" Target="https://www.uu.se/en/study/programme/masters-programme-image-analysis-and-machine-learning" TargetMode="External"/><Relationship Id="rId29" Type="http://schemas.openxmlformats.org/officeDocument/2006/relationships/hyperlink" Target="https://www.uu.se/en/study/programme/masters-programme-bioinformatics-biology-background" TargetMode="External"/><Relationship Id="rId51" Type="http://schemas.openxmlformats.org/officeDocument/2006/relationships/hyperlink" Target="https://www.uu.se/en/study/programme/masters-programme-bioinformatics-biology-background" TargetMode="External"/><Relationship Id="rId50" Type="http://schemas.openxmlformats.org/officeDocument/2006/relationships/hyperlink" Target="https://www.uu.se/en/study/programme/masters-programme-quantum-technology" TargetMode="External"/><Relationship Id="rId53" Type="http://schemas.openxmlformats.org/officeDocument/2006/relationships/hyperlink" Target="https://www.uu.se/en/study/programme/masters-programme-biology-cell-and-molecular-biology" TargetMode="External"/><Relationship Id="rId52" Type="http://schemas.openxmlformats.org/officeDocument/2006/relationships/hyperlink" Target="https://www.uu.se/en/study/programme/masters-programme-bioinformatics-computer-science-background" TargetMode="External"/><Relationship Id="rId11" Type="http://schemas.openxmlformats.org/officeDocument/2006/relationships/hyperlink" Target="https://www.uu.se/en/study/programme/bachelors-programme-construction-engineering" TargetMode="External"/><Relationship Id="rId55" Type="http://schemas.openxmlformats.org/officeDocument/2006/relationships/hyperlink" Target="https://www.uu.se/utbildning/program/masterprogram-biologi-ekosystem-och-akvatisk-ekologi" TargetMode="External"/><Relationship Id="rId10" Type="http://schemas.openxmlformats.org/officeDocument/2006/relationships/hyperlink" Target="https://www.uu.se/en/study/programme/masters-programme-materials-engineering-300" TargetMode="External"/><Relationship Id="rId54" Type="http://schemas.openxmlformats.org/officeDocument/2006/relationships/hyperlink" Target="https://www.uu.se/en/study/programme/masters-programme-biology-ecology-and-conservation" TargetMode="External"/><Relationship Id="rId13" Type="http://schemas.openxmlformats.org/officeDocument/2006/relationships/hyperlink" Target="https://www.uu.se/en/study/programme/bachelors-programme-sustainable-development-industrial-engineering" TargetMode="External"/><Relationship Id="rId57" Type="http://schemas.openxmlformats.org/officeDocument/2006/relationships/hyperlink" Target="https://www.uu.se/en/study/programme/masters-programme-biology-immunology-and-microbiology" TargetMode="External"/><Relationship Id="rId12" Type="http://schemas.openxmlformats.org/officeDocument/2006/relationships/hyperlink" Target="https://www.uu.se/en/study/programme/bachelors-programme-electrical-engineering" TargetMode="External"/><Relationship Id="rId56" Type="http://schemas.openxmlformats.org/officeDocument/2006/relationships/hyperlink" Target="https://www.uu.se/en/study/programme/masters-programme-biology-ecosystems-and-aquatic-ecology" TargetMode="External"/><Relationship Id="rId15" Type="http://schemas.openxmlformats.org/officeDocument/2006/relationships/hyperlink" Target="https://www.uu.se/en/study/programme/bachelors-programme-mechanical-engineering" TargetMode="External"/><Relationship Id="rId59" Type="http://schemas.openxmlformats.org/officeDocument/2006/relationships/hyperlink" Target="https://www.uu.se/en/study/programme/masters-programme-biology-nabis-nordic-master-biodiversity-and-systematics" TargetMode="External"/><Relationship Id="rId14" Type="http://schemas.openxmlformats.org/officeDocument/2006/relationships/hyperlink" Target="https://www.uu.se/en/study/programme/bachelors-programme-nuclear-engineering" TargetMode="External"/><Relationship Id="rId58" Type="http://schemas.openxmlformats.org/officeDocument/2006/relationships/hyperlink" Target="https://www.uu.se/en/study/programme/masters-programme-biology-environmental-toxicology" TargetMode="External"/><Relationship Id="rId17" Type="http://schemas.openxmlformats.org/officeDocument/2006/relationships/hyperlink" Target="https://www.uu.se/en/study/programme/bachelors-programme-biology" TargetMode="External"/><Relationship Id="rId16" Type="http://schemas.openxmlformats.org/officeDocument/2006/relationships/hyperlink" Target="https://www.uu.se/en/study/programme/bachelors-programme-biomedical-engineering" TargetMode="External"/><Relationship Id="rId19" Type="http://schemas.openxmlformats.org/officeDocument/2006/relationships/hyperlink" Target="https://www.uu.se/en/study/programme/bachelors-programme-physics-physics" TargetMode="External"/><Relationship Id="rId18" Type="http://schemas.openxmlformats.org/officeDocument/2006/relationships/hyperlink" Target="https://www.uu.se/en/study/programme/bachelors-programme-computer-scienc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2.5"/>
    <col customWidth="1" min="3" max="3" width="35.38"/>
    <col customWidth="1" min="6" max="6" width="51.5"/>
    <col customWidth="1" min="7" max="7" width="77.63"/>
    <col customWidth="1" min="8" max="18" width="18.88"/>
  </cols>
  <sheetData>
    <row r="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c r="A2" s="2">
        <v>1.0</v>
      </c>
      <c r="B2" s="1" t="s">
        <v>8</v>
      </c>
      <c r="C2" s="1" t="s">
        <v>9</v>
      </c>
      <c r="D2" s="2">
        <v>5.0</v>
      </c>
      <c r="E2" s="2">
        <v>300.0</v>
      </c>
      <c r="F2" s="1" t="s">
        <v>10</v>
      </c>
      <c r="G2" s="3" t="s">
        <v>11</v>
      </c>
      <c r="H2" s="4" t="s">
        <v>12</v>
      </c>
      <c r="I2" s="1" t="s">
        <v>13</v>
      </c>
      <c r="J2" s="1" t="s">
        <v>14</v>
      </c>
      <c r="K2" s="1" t="s">
        <v>15</v>
      </c>
      <c r="L2" s="1" t="s">
        <v>16</v>
      </c>
      <c r="M2" s="1"/>
      <c r="N2" s="1"/>
      <c r="O2" s="1" t="s">
        <v>17</v>
      </c>
      <c r="P2" s="1" t="s">
        <v>17</v>
      </c>
      <c r="Q2" s="1"/>
      <c r="R2" s="1"/>
      <c r="S2" s="1"/>
      <c r="T2" s="1"/>
      <c r="U2" s="1"/>
      <c r="V2" s="1"/>
      <c r="W2" s="1"/>
      <c r="X2" s="1"/>
      <c r="Y2" s="1"/>
      <c r="Z2" s="1"/>
    </row>
    <row r="3">
      <c r="A3" s="2">
        <v>2.0</v>
      </c>
      <c r="B3" s="1" t="s">
        <v>18</v>
      </c>
      <c r="C3" s="1" t="s">
        <v>9</v>
      </c>
      <c r="D3" s="2">
        <v>5.0</v>
      </c>
      <c r="E3" s="2">
        <v>300.0</v>
      </c>
      <c r="F3" s="1" t="s">
        <v>19</v>
      </c>
      <c r="G3" s="3" t="s">
        <v>20</v>
      </c>
      <c r="H3" s="5" t="s">
        <v>12</v>
      </c>
      <c r="I3" s="1" t="s">
        <v>21</v>
      </c>
      <c r="J3" s="1" t="s">
        <v>22</v>
      </c>
      <c r="K3" s="1" t="s">
        <v>23</v>
      </c>
      <c r="L3" s="1"/>
      <c r="M3" s="1"/>
      <c r="N3" s="1"/>
      <c r="O3" s="1" t="s">
        <v>17</v>
      </c>
      <c r="P3" s="1" t="s">
        <v>17</v>
      </c>
      <c r="Q3" s="1"/>
      <c r="R3" s="1"/>
      <c r="S3" s="1"/>
      <c r="T3" s="1"/>
      <c r="U3" s="1"/>
      <c r="V3" s="1"/>
      <c r="W3" s="1"/>
      <c r="X3" s="1"/>
      <c r="Y3" s="1"/>
      <c r="Z3" s="1"/>
    </row>
    <row r="4">
      <c r="A4" s="2">
        <v>3.0</v>
      </c>
      <c r="B4" s="1" t="s">
        <v>24</v>
      </c>
      <c r="C4" s="1" t="s">
        <v>9</v>
      </c>
      <c r="D4" s="2">
        <v>5.0</v>
      </c>
      <c r="E4" s="2">
        <v>300.0</v>
      </c>
      <c r="F4" s="1" t="s">
        <v>25</v>
      </c>
      <c r="G4" s="3" t="s">
        <v>26</v>
      </c>
      <c r="H4" s="4" t="s">
        <v>12</v>
      </c>
      <c r="I4" s="1" t="s">
        <v>27</v>
      </c>
      <c r="J4" s="1" t="s">
        <v>28</v>
      </c>
      <c r="K4" s="1"/>
      <c r="L4" s="1"/>
      <c r="M4" s="1"/>
      <c r="N4" s="1"/>
      <c r="O4" s="1" t="s">
        <v>17</v>
      </c>
      <c r="P4" s="1" t="s">
        <v>17</v>
      </c>
      <c r="Q4" s="1"/>
      <c r="R4" s="1"/>
      <c r="S4" s="1"/>
      <c r="T4" s="1"/>
      <c r="U4" s="1"/>
      <c r="V4" s="1"/>
      <c r="W4" s="1"/>
      <c r="X4" s="1"/>
      <c r="Y4" s="1"/>
      <c r="Z4" s="1"/>
    </row>
    <row r="5">
      <c r="A5" s="2">
        <v>4.0</v>
      </c>
      <c r="B5" s="1" t="s">
        <v>29</v>
      </c>
      <c r="C5" s="1" t="s">
        <v>9</v>
      </c>
      <c r="D5" s="2">
        <v>5.0</v>
      </c>
      <c r="E5" s="2">
        <v>300.0</v>
      </c>
      <c r="F5" s="1" t="s">
        <v>30</v>
      </c>
      <c r="G5" s="3" t="s">
        <v>31</v>
      </c>
      <c r="H5" s="4" t="s">
        <v>12</v>
      </c>
      <c r="I5" s="1" t="s">
        <v>32</v>
      </c>
      <c r="J5" s="1" t="s">
        <v>33</v>
      </c>
      <c r="K5" s="1" t="s">
        <v>34</v>
      </c>
      <c r="L5" s="1" t="s">
        <v>35</v>
      </c>
      <c r="M5" s="1" t="s">
        <v>36</v>
      </c>
      <c r="N5" s="1"/>
      <c r="O5" s="1" t="s">
        <v>17</v>
      </c>
      <c r="P5" s="1" t="s">
        <v>17</v>
      </c>
      <c r="Q5" s="1"/>
      <c r="R5" s="1"/>
      <c r="S5" s="1"/>
      <c r="T5" s="1"/>
      <c r="U5" s="1"/>
      <c r="V5" s="1"/>
      <c r="W5" s="1"/>
      <c r="X5" s="1"/>
      <c r="Y5" s="1"/>
      <c r="Z5" s="1"/>
    </row>
    <row r="6">
      <c r="A6" s="2">
        <v>5.0</v>
      </c>
      <c r="B6" s="1" t="s">
        <v>37</v>
      </c>
      <c r="C6" s="1" t="s">
        <v>9</v>
      </c>
      <c r="D6" s="2">
        <v>5.0</v>
      </c>
      <c r="E6" s="2">
        <v>300.0</v>
      </c>
      <c r="F6" s="1" t="s">
        <v>38</v>
      </c>
      <c r="G6" s="3" t="s">
        <v>39</v>
      </c>
      <c r="H6" s="4" t="s">
        <v>12</v>
      </c>
      <c r="I6" s="1" t="s">
        <v>40</v>
      </c>
      <c r="J6" s="1" t="s">
        <v>41</v>
      </c>
      <c r="K6" s="1" t="s">
        <v>42</v>
      </c>
      <c r="L6" s="1" t="s">
        <v>43</v>
      </c>
      <c r="M6" s="1" t="s">
        <v>44</v>
      </c>
      <c r="N6" s="1" t="s">
        <v>45</v>
      </c>
      <c r="O6" s="1" t="s">
        <v>17</v>
      </c>
      <c r="P6" s="1" t="s">
        <v>17</v>
      </c>
      <c r="Q6" s="1"/>
      <c r="R6" s="1"/>
      <c r="S6" s="1"/>
      <c r="T6" s="1"/>
      <c r="U6" s="1"/>
      <c r="V6" s="1"/>
      <c r="W6" s="1"/>
      <c r="X6" s="1"/>
      <c r="Y6" s="1"/>
      <c r="Z6" s="1"/>
    </row>
    <row r="7">
      <c r="A7" s="2">
        <v>6.0</v>
      </c>
      <c r="B7" s="1" t="s">
        <v>46</v>
      </c>
      <c r="C7" s="1" t="s">
        <v>9</v>
      </c>
      <c r="D7" s="2">
        <v>5.0</v>
      </c>
      <c r="E7" s="2">
        <v>300.0</v>
      </c>
      <c r="F7" s="1" t="s">
        <v>47</v>
      </c>
      <c r="G7" s="3" t="s">
        <v>48</v>
      </c>
      <c r="H7" s="4" t="s">
        <v>12</v>
      </c>
      <c r="I7" s="1" t="s">
        <v>22</v>
      </c>
      <c r="J7" s="1" t="s">
        <v>49</v>
      </c>
      <c r="K7" s="1" t="s">
        <v>50</v>
      </c>
      <c r="L7" s="1" t="s">
        <v>51</v>
      </c>
      <c r="M7" s="1" t="s">
        <v>52</v>
      </c>
      <c r="N7" s="1"/>
      <c r="O7" s="1" t="s">
        <v>17</v>
      </c>
      <c r="P7" s="1" t="s">
        <v>17</v>
      </c>
      <c r="Q7" s="1"/>
      <c r="R7" s="1"/>
      <c r="S7" s="1"/>
      <c r="T7" s="1"/>
      <c r="U7" s="1"/>
      <c r="V7" s="1"/>
      <c r="W7" s="1"/>
      <c r="X7" s="1"/>
      <c r="Y7" s="1"/>
      <c r="Z7" s="1"/>
    </row>
    <row r="8">
      <c r="A8" s="2">
        <v>7.0</v>
      </c>
      <c r="B8" s="1" t="s">
        <v>53</v>
      </c>
      <c r="C8" s="1" t="s">
        <v>9</v>
      </c>
      <c r="D8" s="2">
        <v>5.0</v>
      </c>
      <c r="E8" s="2">
        <v>300.0</v>
      </c>
      <c r="F8" s="1" t="s">
        <v>54</v>
      </c>
      <c r="G8" s="3" t="s">
        <v>55</v>
      </c>
      <c r="H8" s="4" t="s">
        <v>12</v>
      </c>
      <c r="I8" s="1" t="s">
        <v>56</v>
      </c>
      <c r="J8" s="1" t="s">
        <v>57</v>
      </c>
      <c r="K8" s="1"/>
      <c r="L8" s="1"/>
      <c r="M8" s="1"/>
      <c r="N8" s="1"/>
      <c r="O8" s="1" t="s">
        <v>17</v>
      </c>
      <c r="P8" s="1" t="s">
        <v>17</v>
      </c>
      <c r="Q8" s="1"/>
      <c r="R8" s="1"/>
      <c r="S8" s="1"/>
      <c r="T8" s="1"/>
      <c r="U8" s="1"/>
      <c r="V8" s="1"/>
      <c r="W8" s="1"/>
      <c r="X8" s="1"/>
      <c r="Y8" s="1"/>
      <c r="Z8" s="1"/>
    </row>
    <row r="9">
      <c r="A9" s="2">
        <v>8.0</v>
      </c>
      <c r="B9" s="1" t="s">
        <v>58</v>
      </c>
      <c r="C9" s="1" t="s">
        <v>9</v>
      </c>
      <c r="D9" s="2">
        <v>5.0</v>
      </c>
      <c r="E9" s="2">
        <v>300.0</v>
      </c>
      <c r="F9" s="1" t="s">
        <v>59</v>
      </c>
      <c r="G9" s="3" t="s">
        <v>60</v>
      </c>
      <c r="H9" s="4" t="s">
        <v>12</v>
      </c>
      <c r="I9" s="1" t="s">
        <v>28</v>
      </c>
      <c r="J9" s="1" t="s">
        <v>61</v>
      </c>
      <c r="K9" s="1" t="s">
        <v>62</v>
      </c>
      <c r="L9" s="1" t="s">
        <v>63</v>
      </c>
      <c r="M9" s="1"/>
      <c r="N9" s="1"/>
      <c r="O9" s="1" t="s">
        <v>17</v>
      </c>
      <c r="P9" s="1" t="s">
        <v>17</v>
      </c>
      <c r="Q9" s="1"/>
      <c r="R9" s="1"/>
      <c r="S9" s="1"/>
      <c r="T9" s="1"/>
      <c r="U9" s="1"/>
      <c r="V9" s="1"/>
      <c r="W9" s="1"/>
      <c r="X9" s="1"/>
      <c r="Y9" s="1"/>
      <c r="Z9" s="1"/>
    </row>
    <row r="10">
      <c r="A10" s="2">
        <v>9.0</v>
      </c>
      <c r="B10" s="1" t="s">
        <v>64</v>
      </c>
      <c r="C10" s="1" t="s">
        <v>9</v>
      </c>
      <c r="D10" s="2">
        <v>5.0</v>
      </c>
      <c r="E10" s="2">
        <v>300.0</v>
      </c>
      <c r="F10" s="1" t="s">
        <v>65</v>
      </c>
      <c r="G10" s="3" t="s">
        <v>66</v>
      </c>
      <c r="H10" s="4" t="s">
        <v>12</v>
      </c>
      <c r="I10" s="1" t="s">
        <v>67</v>
      </c>
      <c r="J10" s="1" t="s">
        <v>68</v>
      </c>
      <c r="K10" s="1"/>
      <c r="L10" s="1"/>
      <c r="M10" s="1"/>
      <c r="N10" s="1"/>
      <c r="O10" s="1" t="s">
        <v>17</v>
      </c>
      <c r="P10" s="1" t="s">
        <v>17</v>
      </c>
      <c r="Q10" s="1"/>
      <c r="R10" s="1"/>
      <c r="S10" s="1"/>
      <c r="T10" s="1"/>
      <c r="U10" s="1"/>
      <c r="V10" s="1"/>
      <c r="W10" s="1"/>
      <c r="X10" s="1"/>
      <c r="Y10" s="1"/>
      <c r="Z10" s="1"/>
    </row>
    <row r="11">
      <c r="A11" s="2">
        <v>10.0</v>
      </c>
      <c r="B11" s="1" t="s">
        <v>69</v>
      </c>
      <c r="C11" s="1" t="s">
        <v>9</v>
      </c>
      <c r="D11" s="2">
        <v>5.0</v>
      </c>
      <c r="E11" s="2">
        <v>300.0</v>
      </c>
      <c r="F11" s="1" t="s">
        <v>70</v>
      </c>
      <c r="G11" s="3" t="s">
        <v>71</v>
      </c>
      <c r="H11" s="4" t="s">
        <v>12</v>
      </c>
      <c r="I11" s="1" t="s">
        <v>44</v>
      </c>
      <c r="J11" s="1" t="s">
        <v>72</v>
      </c>
      <c r="K11" s="1" t="s">
        <v>73</v>
      </c>
      <c r="L11" s="1" t="s">
        <v>74</v>
      </c>
      <c r="M11" s="1"/>
      <c r="N11" s="1"/>
      <c r="O11" s="1" t="s">
        <v>17</v>
      </c>
      <c r="P11" s="1" t="s">
        <v>17</v>
      </c>
      <c r="Q11" s="1"/>
      <c r="R11" s="1"/>
      <c r="S11" s="1"/>
      <c r="T11" s="1"/>
      <c r="U11" s="1"/>
      <c r="V11" s="1"/>
      <c r="W11" s="1"/>
      <c r="X11" s="1"/>
      <c r="Y11" s="1"/>
      <c r="Z11" s="1"/>
    </row>
    <row r="12">
      <c r="A12" s="2">
        <v>11.0</v>
      </c>
      <c r="B12" s="1" t="s">
        <v>75</v>
      </c>
      <c r="C12" s="1" t="s">
        <v>76</v>
      </c>
      <c r="D12" s="2">
        <v>3.0</v>
      </c>
      <c r="E12" s="2">
        <v>180.0</v>
      </c>
      <c r="F12" s="1" t="s">
        <v>77</v>
      </c>
      <c r="G12" s="3" t="s">
        <v>78</v>
      </c>
      <c r="H12" s="4" t="s">
        <v>12</v>
      </c>
      <c r="I12" s="1" t="s">
        <v>79</v>
      </c>
      <c r="J12" s="1" t="s">
        <v>80</v>
      </c>
      <c r="K12" s="1" t="s">
        <v>81</v>
      </c>
      <c r="L12" s="1" t="s">
        <v>22</v>
      </c>
      <c r="M12" s="1" t="s">
        <v>82</v>
      </c>
      <c r="N12" s="1"/>
      <c r="O12" s="1"/>
      <c r="P12" s="1" t="s">
        <v>17</v>
      </c>
      <c r="Q12" s="1"/>
      <c r="R12" s="1"/>
      <c r="S12" s="1"/>
      <c r="T12" s="1"/>
      <c r="U12" s="1"/>
      <c r="V12" s="1"/>
      <c r="W12" s="1"/>
      <c r="X12" s="1"/>
      <c r="Y12" s="1"/>
      <c r="Z12" s="1"/>
    </row>
    <row r="13">
      <c r="A13" s="2">
        <v>12.0</v>
      </c>
      <c r="B13" s="1" t="s">
        <v>8</v>
      </c>
      <c r="C13" s="1" t="s">
        <v>76</v>
      </c>
      <c r="D13" s="2">
        <v>3.0</v>
      </c>
      <c r="E13" s="2">
        <v>180.0</v>
      </c>
      <c r="F13" s="1" t="s">
        <v>83</v>
      </c>
      <c r="G13" s="3" t="s">
        <v>84</v>
      </c>
      <c r="H13" s="4" t="s">
        <v>12</v>
      </c>
      <c r="I13" s="1" t="s">
        <v>85</v>
      </c>
      <c r="J13" s="1"/>
      <c r="K13" s="1"/>
      <c r="L13" s="1"/>
      <c r="M13" s="1"/>
      <c r="N13" s="1"/>
      <c r="O13" s="1"/>
      <c r="P13" s="1" t="s">
        <v>17</v>
      </c>
      <c r="Q13" s="1"/>
      <c r="R13" s="1"/>
      <c r="S13" s="1"/>
      <c r="T13" s="1"/>
      <c r="U13" s="1"/>
      <c r="V13" s="1"/>
      <c r="W13" s="1"/>
      <c r="X13" s="1"/>
      <c r="Y13" s="1"/>
      <c r="Z13" s="1"/>
    </row>
    <row r="14">
      <c r="A14" s="2">
        <v>13.0</v>
      </c>
      <c r="B14" s="1" t="s">
        <v>86</v>
      </c>
      <c r="C14" s="1" t="s">
        <v>76</v>
      </c>
      <c r="D14" s="2">
        <v>3.0</v>
      </c>
      <c r="E14" s="2">
        <v>180.0</v>
      </c>
      <c r="F14" s="1" t="s">
        <v>87</v>
      </c>
      <c r="G14" s="3" t="s">
        <v>88</v>
      </c>
      <c r="H14" s="4" t="s">
        <v>89</v>
      </c>
      <c r="I14" s="1" t="s">
        <v>90</v>
      </c>
      <c r="J14" s="1"/>
      <c r="K14" s="1"/>
      <c r="L14" s="1"/>
      <c r="M14" s="1"/>
      <c r="N14" s="1"/>
      <c r="O14" s="1"/>
      <c r="P14" s="1" t="s">
        <v>17</v>
      </c>
      <c r="Q14" s="1"/>
      <c r="R14" s="1"/>
      <c r="S14" s="1"/>
      <c r="T14" s="1"/>
      <c r="U14" s="1"/>
      <c r="V14" s="1"/>
      <c r="W14" s="1"/>
      <c r="X14" s="1"/>
      <c r="Y14" s="1"/>
      <c r="Z14" s="1"/>
    </row>
    <row r="15">
      <c r="A15" s="2">
        <v>14.0</v>
      </c>
      <c r="B15" s="1" t="s">
        <v>91</v>
      </c>
      <c r="C15" s="1" t="s">
        <v>76</v>
      </c>
      <c r="D15" s="2">
        <v>3.0</v>
      </c>
      <c r="E15" s="2">
        <v>180.0</v>
      </c>
      <c r="F15" s="1" t="s">
        <v>92</v>
      </c>
      <c r="G15" s="3" t="s">
        <v>93</v>
      </c>
      <c r="H15" s="4" t="s">
        <v>12</v>
      </c>
      <c r="I15" s="1" t="s">
        <v>94</v>
      </c>
      <c r="J15" s="1" t="s">
        <v>95</v>
      </c>
      <c r="K15" s="1" t="s">
        <v>96</v>
      </c>
      <c r="L15" s="1" t="s">
        <v>97</v>
      </c>
      <c r="M15" s="1"/>
      <c r="N15" s="1"/>
      <c r="O15" s="1"/>
      <c r="P15" s="1" t="s">
        <v>17</v>
      </c>
      <c r="Q15" s="1"/>
      <c r="R15" s="1"/>
      <c r="S15" s="1"/>
      <c r="T15" s="1"/>
      <c r="U15" s="1"/>
      <c r="V15" s="1"/>
      <c r="W15" s="1"/>
      <c r="X15" s="1"/>
      <c r="Y15" s="1"/>
      <c r="Z15" s="1"/>
    </row>
    <row r="16">
      <c r="A16" s="2">
        <v>15.0</v>
      </c>
      <c r="B16" s="1" t="s">
        <v>98</v>
      </c>
      <c r="C16" s="1" t="s">
        <v>76</v>
      </c>
      <c r="D16" s="2">
        <v>3.0</v>
      </c>
      <c r="E16" s="2">
        <v>180.0</v>
      </c>
      <c r="F16" s="1" t="s">
        <v>99</v>
      </c>
      <c r="G16" s="3" t="s">
        <v>100</v>
      </c>
      <c r="H16" s="4" t="s">
        <v>12</v>
      </c>
      <c r="I16" s="1" t="s">
        <v>101</v>
      </c>
      <c r="J16" s="1" t="s">
        <v>16</v>
      </c>
      <c r="K16" s="1" t="s">
        <v>102</v>
      </c>
      <c r="L16" s="1" t="s">
        <v>103</v>
      </c>
      <c r="M16" s="1" t="s">
        <v>104</v>
      </c>
      <c r="N16" s="1"/>
      <c r="O16" s="1"/>
      <c r="P16" s="1" t="s">
        <v>17</v>
      </c>
      <c r="Q16" s="1"/>
      <c r="R16" s="1"/>
      <c r="S16" s="1"/>
      <c r="T16" s="1"/>
      <c r="U16" s="1"/>
      <c r="V16" s="1"/>
      <c r="W16" s="1"/>
      <c r="X16" s="1"/>
      <c r="Y16" s="1"/>
      <c r="Z16" s="1"/>
    </row>
    <row r="17">
      <c r="A17" s="2">
        <v>16.0</v>
      </c>
      <c r="B17" s="1" t="s">
        <v>105</v>
      </c>
      <c r="C17" s="1" t="s">
        <v>76</v>
      </c>
      <c r="D17" s="2">
        <v>3.0</v>
      </c>
      <c r="E17" s="2">
        <v>180.0</v>
      </c>
      <c r="F17" s="1" t="s">
        <v>106</v>
      </c>
      <c r="G17" s="3" t="s">
        <v>107</v>
      </c>
      <c r="H17" s="1" t="s">
        <v>108</v>
      </c>
      <c r="I17" s="1"/>
      <c r="J17" s="1"/>
      <c r="K17" s="1"/>
      <c r="L17" s="1"/>
      <c r="M17" s="1"/>
      <c r="N17" s="1"/>
      <c r="O17" s="1"/>
      <c r="P17" s="1" t="s">
        <v>17</v>
      </c>
      <c r="Q17" s="1"/>
      <c r="R17" s="1"/>
      <c r="S17" s="1"/>
      <c r="T17" s="1"/>
      <c r="U17" s="1"/>
      <c r="V17" s="1"/>
      <c r="W17" s="1"/>
      <c r="X17" s="1"/>
      <c r="Y17" s="1"/>
      <c r="Z17" s="1"/>
    </row>
    <row r="18">
      <c r="A18" s="2">
        <v>17.0</v>
      </c>
      <c r="B18" s="1" t="s">
        <v>109</v>
      </c>
      <c r="C18" s="1" t="s">
        <v>110</v>
      </c>
      <c r="D18" s="2">
        <v>3.0</v>
      </c>
      <c r="E18" s="2">
        <v>180.0</v>
      </c>
      <c r="F18" s="1" t="s">
        <v>111</v>
      </c>
      <c r="G18" s="3" t="s">
        <v>112</v>
      </c>
      <c r="H18" s="4" t="s">
        <v>113</v>
      </c>
      <c r="I18" s="1" t="s">
        <v>114</v>
      </c>
      <c r="J18" s="1" t="s">
        <v>115</v>
      </c>
      <c r="K18" s="1" t="s">
        <v>116</v>
      </c>
      <c r="L18" s="1" t="s">
        <v>35</v>
      </c>
      <c r="M18" s="1" t="s">
        <v>104</v>
      </c>
      <c r="N18" s="1" t="s">
        <v>117</v>
      </c>
      <c r="O18" s="1" t="s">
        <v>118</v>
      </c>
      <c r="P18" s="1" t="s">
        <v>119</v>
      </c>
      <c r="Q18" s="1"/>
      <c r="R18" s="1"/>
      <c r="S18" s="1"/>
      <c r="T18" s="1"/>
      <c r="U18" s="1"/>
      <c r="V18" s="1"/>
      <c r="W18" s="1"/>
      <c r="X18" s="1"/>
      <c r="Y18" s="1"/>
      <c r="Z18" s="1"/>
    </row>
    <row r="19">
      <c r="A19" s="2">
        <v>18.0</v>
      </c>
      <c r="B19" s="1" t="s">
        <v>120</v>
      </c>
      <c r="C19" s="1" t="s">
        <v>110</v>
      </c>
      <c r="D19" s="2">
        <v>3.0</v>
      </c>
      <c r="E19" s="2">
        <v>180.0</v>
      </c>
      <c r="F19" s="1" t="s">
        <v>121</v>
      </c>
      <c r="G19" s="3" t="s">
        <v>122</v>
      </c>
      <c r="H19" s="4" t="s">
        <v>32</v>
      </c>
      <c r="I19" s="1" t="s">
        <v>34</v>
      </c>
      <c r="J19" s="1" t="s">
        <v>35</v>
      </c>
      <c r="K19" s="1"/>
      <c r="L19" s="1"/>
      <c r="M19" s="1"/>
      <c r="N19" s="1"/>
      <c r="O19" s="1"/>
      <c r="P19" s="1"/>
      <c r="Q19" s="1"/>
      <c r="R19" s="1"/>
      <c r="S19" s="1"/>
      <c r="T19" s="1"/>
      <c r="U19" s="1"/>
      <c r="V19" s="1"/>
      <c r="W19" s="1"/>
      <c r="X19" s="1"/>
      <c r="Y19" s="1"/>
      <c r="Z19" s="1"/>
    </row>
    <row r="20">
      <c r="A20" s="2">
        <v>19.0</v>
      </c>
      <c r="B20" s="1" t="s">
        <v>68</v>
      </c>
      <c r="C20" s="1" t="s">
        <v>110</v>
      </c>
      <c r="D20" s="2">
        <v>3.0</v>
      </c>
      <c r="E20" s="2">
        <v>180.0</v>
      </c>
      <c r="F20" s="1" t="s">
        <v>123</v>
      </c>
      <c r="G20" s="3" t="s">
        <v>124</v>
      </c>
      <c r="H20" s="4" t="s">
        <v>125</v>
      </c>
      <c r="I20" s="1" t="s">
        <v>126</v>
      </c>
      <c r="J20" s="1" t="s">
        <v>67</v>
      </c>
      <c r="K20" s="1" t="s">
        <v>35</v>
      </c>
      <c r="L20" s="1" t="s">
        <v>127</v>
      </c>
      <c r="M20" s="1"/>
      <c r="N20" s="1"/>
      <c r="O20" s="1"/>
      <c r="P20" s="1"/>
      <c r="Q20" s="1"/>
      <c r="R20" s="1"/>
      <c r="S20" s="1"/>
      <c r="T20" s="1"/>
      <c r="U20" s="1"/>
      <c r="V20" s="1"/>
      <c r="W20" s="1"/>
      <c r="X20" s="1"/>
      <c r="Y20" s="1"/>
      <c r="Z20" s="1"/>
    </row>
    <row r="21">
      <c r="A21" s="2">
        <v>20.0</v>
      </c>
      <c r="B21" s="1" t="s">
        <v>128</v>
      </c>
      <c r="C21" s="1" t="s">
        <v>110</v>
      </c>
      <c r="D21" s="2">
        <v>3.0</v>
      </c>
      <c r="E21" s="2">
        <v>180.0</v>
      </c>
      <c r="F21" s="1" t="s">
        <v>129</v>
      </c>
      <c r="G21" s="3" t="s">
        <v>130</v>
      </c>
      <c r="H21" s="4" t="s">
        <v>125</v>
      </c>
      <c r="I21" s="1" t="s">
        <v>131</v>
      </c>
      <c r="J21" s="1" t="s">
        <v>132</v>
      </c>
      <c r="K21" s="1" t="s">
        <v>133</v>
      </c>
      <c r="L21" s="1"/>
      <c r="M21" s="1"/>
      <c r="N21" s="1"/>
      <c r="O21" s="1"/>
      <c r="P21" s="1"/>
      <c r="Q21" s="1"/>
      <c r="R21" s="1"/>
      <c r="S21" s="1"/>
      <c r="T21" s="1"/>
      <c r="U21" s="1"/>
      <c r="V21" s="1"/>
      <c r="W21" s="1"/>
      <c r="X21" s="1"/>
      <c r="Y21" s="1"/>
      <c r="Z21" s="1"/>
    </row>
    <row r="22">
      <c r="A22" s="2">
        <v>21.0</v>
      </c>
      <c r="B22" s="1" t="s">
        <v>134</v>
      </c>
      <c r="C22" s="1" t="s">
        <v>110</v>
      </c>
      <c r="D22" s="2">
        <v>3.0</v>
      </c>
      <c r="E22" s="2">
        <v>180.0</v>
      </c>
      <c r="F22" s="1" t="s">
        <v>135</v>
      </c>
      <c r="G22" s="3" t="s">
        <v>136</v>
      </c>
      <c r="H22" s="4" t="s">
        <v>125</v>
      </c>
      <c r="I22" s="1" t="s">
        <v>137</v>
      </c>
      <c r="J22" s="1" t="s">
        <v>138</v>
      </c>
      <c r="K22" s="1" t="s">
        <v>139</v>
      </c>
      <c r="L22" s="1" t="s">
        <v>140</v>
      </c>
      <c r="M22" s="1" t="s">
        <v>141</v>
      </c>
      <c r="N22" s="1"/>
      <c r="O22" s="1"/>
      <c r="P22" s="1"/>
      <c r="Q22" s="1"/>
      <c r="R22" s="1"/>
      <c r="S22" s="1"/>
      <c r="T22" s="1"/>
      <c r="U22" s="1"/>
      <c r="V22" s="1"/>
      <c r="W22" s="1"/>
      <c r="X22" s="1"/>
      <c r="Y22" s="1"/>
      <c r="Z22" s="1"/>
    </row>
    <row r="23">
      <c r="A23" s="2">
        <v>22.0</v>
      </c>
      <c r="B23" s="1" t="s">
        <v>142</v>
      </c>
      <c r="C23" s="1" t="s">
        <v>110</v>
      </c>
      <c r="D23" s="2">
        <v>3.0</v>
      </c>
      <c r="E23" s="2">
        <v>180.0</v>
      </c>
      <c r="F23" s="1" t="s">
        <v>143</v>
      </c>
      <c r="G23" s="3" t="s">
        <v>144</v>
      </c>
      <c r="H23" s="1" t="s">
        <v>145</v>
      </c>
      <c r="I23" s="1" t="s">
        <v>146</v>
      </c>
      <c r="J23" s="1"/>
      <c r="K23" s="1"/>
      <c r="L23" s="1"/>
      <c r="M23" s="1"/>
      <c r="N23" s="1"/>
      <c r="O23" s="1"/>
      <c r="P23" s="1"/>
      <c r="Q23" s="1"/>
      <c r="R23" s="1"/>
      <c r="S23" s="1"/>
      <c r="T23" s="1"/>
      <c r="U23" s="1"/>
      <c r="V23" s="1"/>
      <c r="W23" s="1"/>
      <c r="X23" s="1"/>
      <c r="Y23" s="1"/>
      <c r="Z23" s="1"/>
    </row>
    <row r="24">
      <c r="A24" s="2">
        <v>23.0</v>
      </c>
      <c r="B24" s="1" t="s">
        <v>147</v>
      </c>
      <c r="C24" s="1" t="s">
        <v>148</v>
      </c>
      <c r="D24" s="2">
        <v>3.0</v>
      </c>
      <c r="E24" s="2">
        <v>180.0</v>
      </c>
      <c r="F24" s="1" t="s">
        <v>149</v>
      </c>
      <c r="G24" s="3" t="s">
        <v>150</v>
      </c>
      <c r="H24" s="6" t="s">
        <v>147</v>
      </c>
      <c r="I24" s="1" t="s">
        <v>151</v>
      </c>
      <c r="J24" s="1" t="s">
        <v>115</v>
      </c>
      <c r="K24" s="1" t="s">
        <v>32</v>
      </c>
      <c r="L24" s="1"/>
      <c r="M24" s="1"/>
      <c r="N24" s="1"/>
      <c r="O24" s="1"/>
      <c r="P24" s="1"/>
      <c r="Q24" s="1"/>
      <c r="R24" s="1"/>
      <c r="S24" s="1"/>
      <c r="T24" s="1"/>
      <c r="U24" s="1"/>
      <c r="V24" s="1"/>
      <c r="W24" s="1"/>
      <c r="X24" s="1"/>
      <c r="Y24" s="1"/>
      <c r="Z24" s="1"/>
    </row>
    <row r="25">
      <c r="A25" s="2">
        <v>24.0</v>
      </c>
      <c r="B25" s="1" t="s">
        <v>152</v>
      </c>
      <c r="C25" s="1" t="s">
        <v>153</v>
      </c>
      <c r="D25" s="2">
        <v>2.0</v>
      </c>
      <c r="E25" s="2">
        <v>120.0</v>
      </c>
      <c r="F25" s="1" t="s">
        <v>154</v>
      </c>
      <c r="G25" s="3" t="s">
        <v>155</v>
      </c>
      <c r="H25" s="4" t="s">
        <v>156</v>
      </c>
      <c r="I25" s="1" t="s">
        <v>44</v>
      </c>
      <c r="J25" s="1" t="s">
        <v>157</v>
      </c>
      <c r="K25" s="1"/>
      <c r="L25" s="1"/>
      <c r="M25" s="1" t="s">
        <v>17</v>
      </c>
      <c r="N25" s="1" t="s">
        <v>17</v>
      </c>
      <c r="O25" s="1" t="s">
        <v>17</v>
      </c>
      <c r="P25" s="1" t="s">
        <v>17</v>
      </c>
      <c r="Q25" s="1"/>
      <c r="R25" s="1"/>
      <c r="S25" s="1"/>
      <c r="T25" s="1"/>
      <c r="U25" s="1"/>
      <c r="V25" s="1"/>
      <c r="W25" s="1"/>
      <c r="X25" s="1"/>
      <c r="Y25" s="1"/>
      <c r="Z25" s="1"/>
    </row>
    <row r="26">
      <c r="A26" s="2">
        <v>25.0</v>
      </c>
      <c r="B26" s="1" t="s">
        <v>158</v>
      </c>
      <c r="C26" s="1" t="s">
        <v>153</v>
      </c>
      <c r="D26" s="2">
        <v>2.0</v>
      </c>
      <c r="E26" s="2">
        <v>120.0</v>
      </c>
      <c r="F26" s="1" t="s">
        <v>159</v>
      </c>
      <c r="G26" s="3" t="s">
        <v>160</v>
      </c>
      <c r="H26" s="4" t="s">
        <v>125</v>
      </c>
      <c r="I26" s="1" t="s">
        <v>137</v>
      </c>
      <c r="J26" s="1" t="s">
        <v>161</v>
      </c>
      <c r="K26" s="1" t="s">
        <v>138</v>
      </c>
      <c r="L26" s="1"/>
      <c r="M26" s="1" t="s">
        <v>17</v>
      </c>
      <c r="N26" s="1" t="s">
        <v>17</v>
      </c>
      <c r="O26" s="1" t="s">
        <v>17</v>
      </c>
      <c r="P26" s="1" t="s">
        <v>17</v>
      </c>
      <c r="Q26" s="1"/>
      <c r="R26" s="1"/>
      <c r="S26" s="1"/>
      <c r="T26" s="1"/>
      <c r="U26" s="1"/>
      <c r="V26" s="1"/>
      <c r="W26" s="1"/>
      <c r="X26" s="1"/>
      <c r="Y26" s="1"/>
      <c r="Z26" s="1"/>
    </row>
    <row r="27">
      <c r="A27" s="2">
        <v>26.0</v>
      </c>
      <c r="B27" s="1" t="s">
        <v>162</v>
      </c>
      <c r="C27" s="1" t="s">
        <v>153</v>
      </c>
      <c r="D27" s="2">
        <v>2.0</v>
      </c>
      <c r="E27" s="2">
        <v>120.0</v>
      </c>
      <c r="F27" s="1" t="s">
        <v>163</v>
      </c>
      <c r="G27" s="3" t="s">
        <v>164</v>
      </c>
      <c r="H27" s="4" t="s">
        <v>165</v>
      </c>
      <c r="I27" s="1" t="s">
        <v>166</v>
      </c>
      <c r="J27" s="1" t="s">
        <v>167</v>
      </c>
      <c r="K27" s="1"/>
      <c r="L27" s="1"/>
      <c r="M27" s="1" t="s">
        <v>17</v>
      </c>
      <c r="N27" s="1" t="s">
        <v>17</v>
      </c>
      <c r="O27" s="1" t="s">
        <v>17</v>
      </c>
      <c r="P27" s="1" t="s">
        <v>17</v>
      </c>
      <c r="Q27" s="1"/>
      <c r="R27" s="1"/>
      <c r="S27" s="1"/>
      <c r="T27" s="1"/>
      <c r="U27" s="1"/>
      <c r="V27" s="1"/>
      <c r="W27" s="1"/>
      <c r="X27" s="1"/>
      <c r="Y27" s="1"/>
      <c r="Z27" s="1"/>
    </row>
    <row r="28">
      <c r="A28" s="2">
        <v>27.0</v>
      </c>
      <c r="B28" s="1" t="s">
        <v>168</v>
      </c>
      <c r="C28" s="1" t="s">
        <v>153</v>
      </c>
      <c r="D28" s="2">
        <v>2.0</v>
      </c>
      <c r="E28" s="2">
        <v>120.0</v>
      </c>
      <c r="F28" s="1" t="s">
        <v>169</v>
      </c>
      <c r="G28" s="3" t="s">
        <v>170</v>
      </c>
      <c r="H28" s="4" t="s">
        <v>171</v>
      </c>
      <c r="I28" s="1" t="s">
        <v>34</v>
      </c>
      <c r="J28" s="1" t="s">
        <v>32</v>
      </c>
      <c r="K28" s="1"/>
      <c r="L28" s="1"/>
      <c r="M28" s="1" t="s">
        <v>17</v>
      </c>
      <c r="N28" s="1" t="s">
        <v>17</v>
      </c>
      <c r="O28" s="1" t="s">
        <v>17</v>
      </c>
      <c r="P28" s="1" t="s">
        <v>17</v>
      </c>
      <c r="Q28" s="1"/>
      <c r="R28" s="1"/>
      <c r="S28" s="1"/>
      <c r="T28" s="1"/>
      <c r="U28" s="1"/>
      <c r="V28" s="1"/>
      <c r="W28" s="1"/>
      <c r="X28" s="1"/>
      <c r="Y28" s="1"/>
      <c r="Z28" s="1"/>
    </row>
    <row r="29">
      <c r="A29" s="2">
        <v>28.0</v>
      </c>
      <c r="B29" s="1" t="s">
        <v>172</v>
      </c>
      <c r="C29" s="1" t="s">
        <v>153</v>
      </c>
      <c r="D29" s="2">
        <v>2.0</v>
      </c>
      <c r="E29" s="2">
        <v>120.0</v>
      </c>
      <c r="F29" s="1" t="s">
        <v>173</v>
      </c>
      <c r="G29" s="3" t="s">
        <v>174</v>
      </c>
      <c r="H29" s="4" t="s">
        <v>125</v>
      </c>
      <c r="I29" s="1" t="s">
        <v>35</v>
      </c>
      <c r="J29" s="1" t="s">
        <v>172</v>
      </c>
      <c r="K29" s="1" t="s">
        <v>119</v>
      </c>
      <c r="L29" s="1"/>
      <c r="M29" s="1" t="s">
        <v>17</v>
      </c>
      <c r="N29" s="1" t="s">
        <v>17</v>
      </c>
      <c r="O29" s="1" t="s">
        <v>17</v>
      </c>
      <c r="P29" s="1" t="s">
        <v>17</v>
      </c>
      <c r="Q29" s="1"/>
      <c r="R29" s="1"/>
      <c r="S29" s="1"/>
      <c r="T29" s="1"/>
      <c r="U29" s="1"/>
      <c r="V29" s="1"/>
      <c r="W29" s="1"/>
      <c r="X29" s="1"/>
      <c r="Y29" s="1"/>
      <c r="Z29" s="1"/>
    </row>
    <row r="30">
      <c r="A30" s="2">
        <v>29.0</v>
      </c>
      <c r="B30" s="1" t="s">
        <v>175</v>
      </c>
      <c r="C30" s="1" t="s">
        <v>153</v>
      </c>
      <c r="D30" s="2">
        <v>2.0</v>
      </c>
      <c r="E30" s="2">
        <v>120.0</v>
      </c>
      <c r="F30" s="1" t="s">
        <v>176</v>
      </c>
      <c r="G30" s="3" t="s">
        <v>177</v>
      </c>
      <c r="H30" s="4" t="s">
        <v>114</v>
      </c>
      <c r="I30" s="1" t="s">
        <v>178</v>
      </c>
      <c r="J30" s="1" t="s">
        <v>32</v>
      </c>
      <c r="K30" s="1"/>
      <c r="L30" s="1"/>
      <c r="M30" s="1" t="s">
        <v>17</v>
      </c>
      <c r="N30" s="1" t="s">
        <v>17</v>
      </c>
      <c r="O30" s="1" t="s">
        <v>17</v>
      </c>
      <c r="P30" s="1" t="s">
        <v>17</v>
      </c>
      <c r="Q30" s="1"/>
      <c r="R30" s="1"/>
      <c r="S30" s="1"/>
      <c r="T30" s="1"/>
      <c r="U30" s="1"/>
      <c r="V30" s="1"/>
      <c r="W30" s="1"/>
      <c r="X30" s="1"/>
      <c r="Y30" s="1"/>
      <c r="Z30" s="1"/>
    </row>
    <row r="31">
      <c r="A31" s="2">
        <v>30.0</v>
      </c>
      <c r="B31" s="1" t="s">
        <v>179</v>
      </c>
      <c r="C31" s="1" t="s">
        <v>153</v>
      </c>
      <c r="D31" s="2">
        <v>2.0</v>
      </c>
      <c r="E31" s="2">
        <v>120.0</v>
      </c>
      <c r="F31" s="1" t="s">
        <v>180</v>
      </c>
      <c r="G31" s="3" t="s">
        <v>181</v>
      </c>
      <c r="H31" s="4" t="s">
        <v>32</v>
      </c>
      <c r="I31" s="1" t="s">
        <v>34</v>
      </c>
      <c r="J31" s="1" t="s">
        <v>35</v>
      </c>
      <c r="K31" s="1"/>
      <c r="L31" s="1"/>
      <c r="M31" s="1" t="s">
        <v>17</v>
      </c>
      <c r="N31" s="1" t="s">
        <v>17</v>
      </c>
      <c r="O31" s="1" t="s">
        <v>17</v>
      </c>
      <c r="P31" s="1" t="s">
        <v>17</v>
      </c>
      <c r="Q31" s="1"/>
      <c r="R31" s="1"/>
      <c r="S31" s="1"/>
      <c r="T31" s="1"/>
      <c r="U31" s="1"/>
      <c r="V31" s="1"/>
      <c r="W31" s="1"/>
      <c r="X31" s="1"/>
      <c r="Y31" s="1"/>
      <c r="Z31" s="1"/>
    </row>
    <row r="32">
      <c r="A32" s="2">
        <v>31.0</v>
      </c>
      <c r="B32" s="1" t="s">
        <v>120</v>
      </c>
      <c r="C32" s="1" t="s">
        <v>153</v>
      </c>
      <c r="D32" s="2">
        <v>2.0</v>
      </c>
      <c r="E32" s="2">
        <v>120.0</v>
      </c>
      <c r="F32" s="1" t="s">
        <v>182</v>
      </c>
      <c r="G32" s="7" t="s">
        <v>183</v>
      </c>
      <c r="H32" s="4" t="s">
        <v>184</v>
      </c>
      <c r="I32" s="1" t="s">
        <v>35</v>
      </c>
      <c r="J32" s="1" t="s">
        <v>32</v>
      </c>
      <c r="K32" s="1"/>
      <c r="L32" s="1"/>
      <c r="M32" s="1" t="s">
        <v>17</v>
      </c>
      <c r="N32" s="1" t="s">
        <v>17</v>
      </c>
      <c r="O32" s="1" t="s">
        <v>17</v>
      </c>
      <c r="P32" s="1" t="s">
        <v>17</v>
      </c>
      <c r="Q32" s="1"/>
      <c r="R32" s="1"/>
      <c r="S32" s="1"/>
      <c r="T32" s="1"/>
      <c r="U32" s="1"/>
      <c r="V32" s="1"/>
      <c r="W32" s="1"/>
      <c r="X32" s="1"/>
      <c r="Y32" s="1"/>
      <c r="Z32" s="1"/>
    </row>
    <row r="33">
      <c r="A33" s="2">
        <v>32.0</v>
      </c>
      <c r="B33" s="1" t="s">
        <v>185</v>
      </c>
      <c r="C33" s="1" t="s">
        <v>153</v>
      </c>
      <c r="D33" s="2">
        <v>2.0</v>
      </c>
      <c r="E33" s="2">
        <v>120.0</v>
      </c>
      <c r="F33" s="1" t="s">
        <v>186</v>
      </c>
      <c r="G33" s="7" t="s">
        <v>187</v>
      </c>
      <c r="H33" s="4" t="s">
        <v>188</v>
      </c>
      <c r="I33" s="1" t="s">
        <v>189</v>
      </c>
      <c r="J33" s="1" t="s">
        <v>190</v>
      </c>
      <c r="K33" s="1"/>
      <c r="L33" s="1"/>
      <c r="M33" s="1" t="s">
        <v>17</v>
      </c>
      <c r="N33" s="1" t="s">
        <v>17</v>
      </c>
      <c r="O33" s="1" t="s">
        <v>17</v>
      </c>
      <c r="P33" s="1" t="s">
        <v>17</v>
      </c>
      <c r="Q33" s="1"/>
      <c r="R33" s="1"/>
      <c r="S33" s="1"/>
      <c r="T33" s="1"/>
      <c r="U33" s="1"/>
      <c r="V33" s="1"/>
      <c r="W33" s="1"/>
      <c r="X33" s="1"/>
      <c r="Y33" s="1"/>
      <c r="Z33" s="1"/>
    </row>
    <row r="34">
      <c r="A34" s="2">
        <v>33.0</v>
      </c>
      <c r="B34" s="1" t="s">
        <v>191</v>
      </c>
      <c r="C34" s="1" t="s">
        <v>153</v>
      </c>
      <c r="D34" s="2">
        <v>2.0</v>
      </c>
      <c r="E34" s="2">
        <v>120.0</v>
      </c>
      <c r="F34" s="1" t="s">
        <v>192</v>
      </c>
      <c r="G34" s="3" t="s">
        <v>193</v>
      </c>
      <c r="H34" s="1" t="s">
        <v>68</v>
      </c>
      <c r="I34" s="1" t="s">
        <v>194</v>
      </c>
      <c r="J34" s="1"/>
      <c r="K34" s="1"/>
      <c r="L34" s="1"/>
      <c r="M34" s="1" t="s">
        <v>17</v>
      </c>
      <c r="N34" s="1" t="s">
        <v>17</v>
      </c>
      <c r="O34" s="1" t="s">
        <v>17</v>
      </c>
      <c r="P34" s="1" t="s">
        <v>17</v>
      </c>
      <c r="Q34" s="1"/>
      <c r="R34" s="1"/>
      <c r="S34" s="1"/>
      <c r="T34" s="1"/>
      <c r="U34" s="1"/>
      <c r="V34" s="1"/>
      <c r="W34" s="1"/>
      <c r="X34" s="1"/>
      <c r="Y34" s="1"/>
      <c r="Z34" s="1"/>
    </row>
    <row r="35">
      <c r="A35" s="2">
        <v>34.0</v>
      </c>
      <c r="B35" s="1" t="s">
        <v>195</v>
      </c>
      <c r="C35" s="1" t="s">
        <v>153</v>
      </c>
      <c r="D35" s="2">
        <v>2.0</v>
      </c>
      <c r="E35" s="2">
        <v>120.0</v>
      </c>
      <c r="F35" s="1" t="s">
        <v>196</v>
      </c>
      <c r="G35" s="7" t="s">
        <v>197</v>
      </c>
      <c r="H35" s="1" t="s">
        <v>113</v>
      </c>
      <c r="I35" s="1"/>
      <c r="J35" s="1"/>
      <c r="K35" s="1"/>
      <c r="L35" s="1"/>
      <c r="M35" s="1" t="s">
        <v>17</v>
      </c>
      <c r="N35" s="1" t="s">
        <v>17</v>
      </c>
      <c r="O35" s="1" t="s">
        <v>17</v>
      </c>
      <c r="P35" s="1" t="s">
        <v>17</v>
      </c>
      <c r="Q35" s="1"/>
      <c r="R35" s="1"/>
      <c r="S35" s="1"/>
      <c r="T35" s="1"/>
      <c r="U35" s="1"/>
      <c r="V35" s="1"/>
      <c r="W35" s="1"/>
      <c r="X35" s="1"/>
      <c r="Y35" s="1"/>
      <c r="Z35" s="1"/>
    </row>
    <row r="36">
      <c r="A36" s="2">
        <v>35.0</v>
      </c>
      <c r="B36" s="1" t="s">
        <v>198</v>
      </c>
      <c r="C36" s="1" t="s">
        <v>153</v>
      </c>
      <c r="D36" s="2">
        <v>2.0</v>
      </c>
      <c r="E36" s="2">
        <v>120.0</v>
      </c>
      <c r="F36" s="1" t="s">
        <v>199</v>
      </c>
      <c r="G36" s="3" t="s">
        <v>200</v>
      </c>
      <c r="H36" s="1" t="s">
        <v>147</v>
      </c>
      <c r="I36" s="1" t="s">
        <v>201</v>
      </c>
      <c r="J36" s="1" t="s">
        <v>115</v>
      </c>
      <c r="K36" s="1"/>
      <c r="L36" s="1"/>
      <c r="M36" s="1" t="s">
        <v>17</v>
      </c>
      <c r="N36" s="1" t="s">
        <v>17</v>
      </c>
      <c r="O36" s="1" t="s">
        <v>17</v>
      </c>
      <c r="P36" s="1" t="s">
        <v>17</v>
      </c>
      <c r="Q36" s="1"/>
      <c r="R36" s="1"/>
      <c r="S36" s="1"/>
      <c r="T36" s="1"/>
      <c r="U36" s="1"/>
      <c r="V36" s="1"/>
      <c r="W36" s="1"/>
      <c r="X36" s="1"/>
      <c r="Y36" s="1"/>
      <c r="Z36" s="1"/>
    </row>
    <row r="37">
      <c r="A37" s="2">
        <v>36.0</v>
      </c>
      <c r="B37" s="1" t="s">
        <v>202</v>
      </c>
      <c r="C37" s="1" t="s">
        <v>153</v>
      </c>
      <c r="D37" s="2">
        <v>2.0</v>
      </c>
      <c r="E37" s="2">
        <v>120.0</v>
      </c>
      <c r="F37" s="1" t="s">
        <v>203</v>
      </c>
      <c r="G37" s="7" t="s">
        <v>204</v>
      </c>
      <c r="H37" s="1" t="s">
        <v>21</v>
      </c>
      <c r="I37" s="1"/>
      <c r="J37" s="1"/>
      <c r="K37" s="1"/>
      <c r="L37" s="1"/>
      <c r="M37" s="1" t="s">
        <v>17</v>
      </c>
      <c r="N37" s="1" t="s">
        <v>17</v>
      </c>
      <c r="O37" s="1" t="s">
        <v>17</v>
      </c>
      <c r="P37" s="1" t="s">
        <v>17</v>
      </c>
      <c r="Q37" s="1"/>
      <c r="R37" s="1"/>
      <c r="S37" s="1"/>
      <c r="T37" s="1"/>
      <c r="U37" s="1"/>
      <c r="V37" s="1"/>
      <c r="W37" s="1"/>
      <c r="X37" s="1"/>
      <c r="Y37" s="1"/>
      <c r="Z37" s="1"/>
    </row>
    <row r="38">
      <c r="A38" s="2">
        <v>37.0</v>
      </c>
      <c r="B38" s="1" t="s">
        <v>205</v>
      </c>
      <c r="C38" s="1" t="s">
        <v>153</v>
      </c>
      <c r="D38" s="2">
        <v>2.0</v>
      </c>
      <c r="E38" s="2">
        <v>120.0</v>
      </c>
      <c r="F38" s="1" t="s">
        <v>206</v>
      </c>
      <c r="G38" s="3" t="s">
        <v>207</v>
      </c>
      <c r="H38" s="1" t="s">
        <v>68</v>
      </c>
      <c r="I38" s="1" t="s">
        <v>194</v>
      </c>
      <c r="J38" s="1"/>
      <c r="K38" s="1"/>
      <c r="L38" s="1"/>
      <c r="M38" s="1" t="s">
        <v>17</v>
      </c>
      <c r="N38" s="1" t="s">
        <v>17</v>
      </c>
      <c r="O38" s="1" t="s">
        <v>17</v>
      </c>
      <c r="P38" s="1" t="s">
        <v>17</v>
      </c>
      <c r="Q38" s="1"/>
      <c r="R38" s="1"/>
      <c r="S38" s="1"/>
      <c r="T38" s="1"/>
      <c r="U38" s="1"/>
      <c r="V38" s="1"/>
      <c r="W38" s="1"/>
      <c r="X38" s="1"/>
      <c r="Y38" s="1"/>
      <c r="Z38" s="1"/>
    </row>
    <row r="39">
      <c r="A39" s="2">
        <v>38.0</v>
      </c>
      <c r="B39" s="1" t="s">
        <v>208</v>
      </c>
      <c r="C39" s="1" t="s">
        <v>153</v>
      </c>
      <c r="D39" s="2">
        <v>2.0</v>
      </c>
      <c r="E39" s="2">
        <v>120.0</v>
      </c>
      <c r="F39" s="1" t="s">
        <v>209</v>
      </c>
      <c r="G39" s="3" t="s">
        <v>210</v>
      </c>
      <c r="H39" s="1" t="s">
        <v>211</v>
      </c>
      <c r="I39" s="1" t="s">
        <v>68</v>
      </c>
      <c r="J39" s="1"/>
      <c r="K39" s="1"/>
      <c r="L39" s="1"/>
      <c r="M39" s="1" t="s">
        <v>17</v>
      </c>
      <c r="N39" s="1" t="s">
        <v>17</v>
      </c>
      <c r="O39" s="1" t="s">
        <v>17</v>
      </c>
      <c r="P39" s="1" t="s">
        <v>17</v>
      </c>
      <c r="Q39" s="1"/>
      <c r="R39" s="1"/>
      <c r="S39" s="1"/>
      <c r="T39" s="1"/>
      <c r="U39" s="1"/>
      <c r="V39" s="1"/>
      <c r="W39" s="1"/>
      <c r="X39" s="1"/>
      <c r="Y39" s="1"/>
      <c r="Z39" s="1"/>
    </row>
    <row r="40">
      <c r="A40" s="2">
        <v>39.0</v>
      </c>
      <c r="B40" s="1" t="s">
        <v>212</v>
      </c>
      <c r="C40" s="1" t="s">
        <v>153</v>
      </c>
      <c r="D40" s="2">
        <v>2.0</v>
      </c>
      <c r="E40" s="2">
        <v>120.0</v>
      </c>
      <c r="F40" s="1" t="s">
        <v>213</v>
      </c>
      <c r="G40" s="3" t="s">
        <v>214</v>
      </c>
      <c r="H40" s="1" t="s">
        <v>215</v>
      </c>
      <c r="I40" s="1"/>
      <c r="J40" s="1"/>
      <c r="K40" s="1"/>
      <c r="L40" s="1"/>
      <c r="M40" s="1" t="s">
        <v>17</v>
      </c>
      <c r="N40" s="1" t="s">
        <v>17</v>
      </c>
      <c r="O40" s="1" t="s">
        <v>17</v>
      </c>
      <c r="P40" s="1" t="s">
        <v>17</v>
      </c>
      <c r="Q40" s="1"/>
      <c r="R40" s="1"/>
      <c r="S40" s="1"/>
      <c r="T40" s="1"/>
      <c r="U40" s="1"/>
      <c r="V40" s="1"/>
      <c r="W40" s="1"/>
      <c r="X40" s="1"/>
      <c r="Y40" s="1"/>
      <c r="Z40" s="1"/>
    </row>
    <row r="41">
      <c r="A41" s="2">
        <v>40.0</v>
      </c>
      <c r="B41" s="1" t="s">
        <v>216</v>
      </c>
      <c r="C41" s="1" t="s">
        <v>153</v>
      </c>
      <c r="D41" s="2">
        <v>2.0</v>
      </c>
      <c r="E41" s="2">
        <v>120.0</v>
      </c>
      <c r="F41" s="1" t="s">
        <v>217</v>
      </c>
      <c r="G41" s="3" t="s">
        <v>218</v>
      </c>
      <c r="H41" s="1" t="s">
        <v>68</v>
      </c>
      <c r="I41" s="1" t="s">
        <v>219</v>
      </c>
      <c r="J41" s="1"/>
      <c r="K41" s="1"/>
      <c r="L41" s="1"/>
      <c r="M41" s="1" t="s">
        <v>17</v>
      </c>
      <c r="N41" s="1" t="s">
        <v>17</v>
      </c>
      <c r="O41" s="1" t="s">
        <v>17</v>
      </c>
      <c r="P41" s="1" t="s">
        <v>17</v>
      </c>
      <c r="Q41" s="1"/>
      <c r="R41" s="1"/>
      <c r="S41" s="1"/>
      <c r="T41" s="1"/>
      <c r="U41" s="1"/>
      <c r="V41" s="1"/>
      <c r="W41" s="1"/>
      <c r="X41" s="1"/>
      <c r="Y41" s="1"/>
      <c r="Z41" s="1"/>
    </row>
    <row r="42">
      <c r="A42" s="2">
        <v>41.0</v>
      </c>
      <c r="B42" s="1" t="s">
        <v>220</v>
      </c>
      <c r="C42" s="1" t="s">
        <v>153</v>
      </c>
      <c r="D42" s="2">
        <v>2.0</v>
      </c>
      <c r="E42" s="2">
        <v>120.0</v>
      </c>
      <c r="F42" s="1" t="s">
        <v>221</v>
      </c>
      <c r="G42" s="7" t="s">
        <v>222</v>
      </c>
      <c r="H42" s="1" t="s">
        <v>22</v>
      </c>
      <c r="I42" s="1" t="s">
        <v>44</v>
      </c>
      <c r="J42" s="1"/>
      <c r="K42" s="1"/>
      <c r="L42" s="1"/>
      <c r="M42" s="1" t="s">
        <v>17</v>
      </c>
      <c r="N42" s="1" t="s">
        <v>17</v>
      </c>
      <c r="O42" s="1" t="s">
        <v>17</v>
      </c>
      <c r="P42" s="1" t="s">
        <v>17</v>
      </c>
      <c r="Q42" s="1"/>
      <c r="R42" s="1"/>
      <c r="S42" s="1"/>
      <c r="T42" s="1"/>
      <c r="U42" s="1"/>
      <c r="V42" s="1"/>
      <c r="W42" s="1"/>
      <c r="X42" s="1"/>
      <c r="Y42" s="1"/>
      <c r="Z42" s="1"/>
    </row>
    <row r="43">
      <c r="A43" s="2">
        <v>42.0</v>
      </c>
      <c r="B43" s="1" t="s">
        <v>223</v>
      </c>
      <c r="C43" s="1" t="s">
        <v>153</v>
      </c>
      <c r="D43" s="2">
        <v>2.0</v>
      </c>
      <c r="E43" s="2">
        <v>120.0</v>
      </c>
      <c r="F43" s="1" t="s">
        <v>224</v>
      </c>
      <c r="G43" s="7" t="s">
        <v>225</v>
      </c>
      <c r="H43" s="1" t="s">
        <v>22</v>
      </c>
      <c r="I43" s="1"/>
      <c r="J43" s="1"/>
      <c r="K43" s="1"/>
      <c r="L43" s="1"/>
      <c r="M43" s="1" t="s">
        <v>17</v>
      </c>
      <c r="N43" s="1" t="s">
        <v>17</v>
      </c>
      <c r="O43" s="1" t="s">
        <v>17</v>
      </c>
      <c r="P43" s="1" t="s">
        <v>17</v>
      </c>
      <c r="Q43" s="1"/>
      <c r="R43" s="1"/>
      <c r="S43" s="1"/>
      <c r="T43" s="1"/>
      <c r="U43" s="1"/>
      <c r="V43" s="1"/>
      <c r="W43" s="1"/>
      <c r="X43" s="1"/>
      <c r="Y43" s="1"/>
      <c r="Z43" s="1"/>
    </row>
    <row r="44">
      <c r="A44" s="2">
        <v>43.0</v>
      </c>
      <c r="B44" s="1" t="s">
        <v>226</v>
      </c>
      <c r="C44" s="1" t="s">
        <v>153</v>
      </c>
      <c r="D44" s="2">
        <v>2.0</v>
      </c>
      <c r="E44" s="2">
        <v>120.0</v>
      </c>
      <c r="F44" s="1" t="s">
        <v>227</v>
      </c>
      <c r="G44" s="7" t="s">
        <v>228</v>
      </c>
      <c r="H44" s="1" t="s">
        <v>184</v>
      </c>
      <c r="I44" s="1" t="s">
        <v>229</v>
      </c>
      <c r="J44" s="1" t="s">
        <v>226</v>
      </c>
      <c r="K44" s="1"/>
      <c r="L44" s="1"/>
      <c r="M44" s="1" t="s">
        <v>17</v>
      </c>
      <c r="N44" s="1" t="s">
        <v>17</v>
      </c>
      <c r="O44" s="1" t="s">
        <v>17</v>
      </c>
      <c r="P44" s="1" t="s">
        <v>17</v>
      </c>
      <c r="Q44" s="1"/>
      <c r="R44" s="1"/>
      <c r="S44" s="1"/>
      <c r="T44" s="1"/>
      <c r="U44" s="1"/>
      <c r="V44" s="1"/>
      <c r="W44" s="1"/>
      <c r="X44" s="1"/>
      <c r="Y44" s="1"/>
      <c r="Z44" s="1"/>
    </row>
    <row r="45">
      <c r="A45" s="2">
        <v>44.0</v>
      </c>
      <c r="B45" s="1" t="s">
        <v>230</v>
      </c>
      <c r="C45" s="1" t="s">
        <v>153</v>
      </c>
      <c r="D45" s="2">
        <v>2.0</v>
      </c>
      <c r="E45" s="2">
        <v>120.0</v>
      </c>
      <c r="F45" s="1" t="s">
        <v>231</v>
      </c>
      <c r="G45" s="7" t="s">
        <v>232</v>
      </c>
      <c r="H45" s="1" t="s">
        <v>32</v>
      </c>
      <c r="I45" s="1" t="s">
        <v>28</v>
      </c>
      <c r="J45" s="1"/>
      <c r="K45" s="1"/>
      <c r="L45" s="1"/>
      <c r="M45" s="1" t="s">
        <v>17</v>
      </c>
      <c r="N45" s="1" t="s">
        <v>17</v>
      </c>
      <c r="O45" s="1" t="s">
        <v>17</v>
      </c>
      <c r="P45" s="1" t="s">
        <v>17</v>
      </c>
      <c r="Q45" s="1"/>
      <c r="R45" s="1"/>
      <c r="S45" s="1"/>
      <c r="T45" s="1"/>
      <c r="U45" s="1"/>
      <c r="V45" s="1"/>
      <c r="W45" s="1"/>
      <c r="X45" s="1"/>
      <c r="Y45" s="1"/>
      <c r="Z45" s="1"/>
    </row>
    <row r="46">
      <c r="A46" s="2">
        <v>45.0</v>
      </c>
      <c r="B46" s="1" t="s">
        <v>233</v>
      </c>
      <c r="C46" s="1" t="s">
        <v>153</v>
      </c>
      <c r="D46" s="2">
        <v>2.0</v>
      </c>
      <c r="E46" s="2">
        <v>120.0</v>
      </c>
      <c r="F46" s="1" t="s">
        <v>234</v>
      </c>
      <c r="G46" s="7" t="s">
        <v>235</v>
      </c>
      <c r="H46" s="1" t="s">
        <v>28</v>
      </c>
      <c r="I46" s="1" t="s">
        <v>236</v>
      </c>
      <c r="J46" s="1"/>
      <c r="K46" s="1"/>
      <c r="L46" s="1"/>
      <c r="M46" s="1" t="s">
        <v>17</v>
      </c>
      <c r="N46" s="1" t="s">
        <v>17</v>
      </c>
      <c r="O46" s="1" t="s">
        <v>17</v>
      </c>
      <c r="P46" s="1" t="s">
        <v>17</v>
      </c>
      <c r="Q46" s="1"/>
      <c r="R46" s="1"/>
      <c r="S46" s="1"/>
      <c r="T46" s="1"/>
      <c r="U46" s="1"/>
      <c r="V46" s="1"/>
      <c r="W46" s="1"/>
      <c r="X46" s="1"/>
      <c r="Y46" s="1"/>
      <c r="Z46" s="1"/>
    </row>
    <row r="47">
      <c r="A47" s="2">
        <v>46.0</v>
      </c>
      <c r="B47" s="1" t="s">
        <v>237</v>
      </c>
      <c r="C47" s="1" t="s">
        <v>153</v>
      </c>
      <c r="D47" s="2">
        <v>2.0</v>
      </c>
      <c r="E47" s="2">
        <v>120.0</v>
      </c>
      <c r="F47" s="1" t="s">
        <v>238</v>
      </c>
      <c r="G47" s="3" t="s">
        <v>239</v>
      </c>
      <c r="H47" s="1" t="s">
        <v>68</v>
      </c>
      <c r="I47" s="1" t="s">
        <v>240</v>
      </c>
      <c r="J47" s="1" t="s">
        <v>241</v>
      </c>
      <c r="K47" s="1"/>
      <c r="L47" s="1"/>
      <c r="M47" s="1" t="s">
        <v>17</v>
      </c>
      <c r="N47" s="1" t="s">
        <v>17</v>
      </c>
      <c r="O47" s="1" t="s">
        <v>17</v>
      </c>
      <c r="P47" s="1" t="s">
        <v>17</v>
      </c>
      <c r="Q47" s="1"/>
      <c r="R47" s="1"/>
      <c r="S47" s="1"/>
      <c r="T47" s="1"/>
      <c r="U47" s="1"/>
      <c r="V47" s="1"/>
      <c r="W47" s="1"/>
      <c r="X47" s="1"/>
      <c r="Y47" s="1"/>
      <c r="Z47" s="1"/>
    </row>
    <row r="48">
      <c r="A48" s="2">
        <v>47.0</v>
      </c>
      <c r="B48" s="1" t="s">
        <v>242</v>
      </c>
      <c r="C48" s="1" t="s">
        <v>153</v>
      </c>
      <c r="D48" s="2">
        <v>2.0</v>
      </c>
      <c r="E48" s="2">
        <v>120.0</v>
      </c>
      <c r="F48" s="1" t="s">
        <v>243</v>
      </c>
      <c r="G48" s="3" t="s">
        <v>244</v>
      </c>
      <c r="H48" s="1" t="s">
        <v>245</v>
      </c>
      <c r="I48" s="1" t="s">
        <v>44</v>
      </c>
      <c r="J48" s="1"/>
      <c r="K48" s="1"/>
      <c r="L48" s="1"/>
      <c r="M48" s="1" t="s">
        <v>17</v>
      </c>
      <c r="N48" s="1" t="s">
        <v>17</v>
      </c>
      <c r="O48" s="1" t="s">
        <v>17</v>
      </c>
      <c r="P48" s="1" t="s">
        <v>17</v>
      </c>
      <c r="Q48" s="1"/>
      <c r="R48" s="1"/>
      <c r="S48" s="1"/>
      <c r="T48" s="1"/>
      <c r="U48" s="1"/>
      <c r="V48" s="1"/>
      <c r="W48" s="1"/>
      <c r="X48" s="1"/>
      <c r="Y48" s="1"/>
      <c r="Z48" s="1"/>
    </row>
    <row r="49">
      <c r="A49" s="2">
        <v>48.0</v>
      </c>
      <c r="B49" s="1" t="s">
        <v>246</v>
      </c>
      <c r="C49" s="1" t="s">
        <v>153</v>
      </c>
      <c r="D49" s="2">
        <v>2.0</v>
      </c>
      <c r="E49" s="2">
        <v>120.0</v>
      </c>
      <c r="F49" s="1" t="s">
        <v>247</v>
      </c>
      <c r="G49" s="3" t="s">
        <v>248</v>
      </c>
      <c r="H49" s="1" t="s">
        <v>21</v>
      </c>
      <c r="I49" s="1"/>
      <c r="J49" s="1"/>
      <c r="K49" s="1"/>
      <c r="L49" s="1"/>
      <c r="M49" s="1" t="s">
        <v>17</v>
      </c>
      <c r="N49" s="1" t="s">
        <v>17</v>
      </c>
      <c r="O49" s="1" t="s">
        <v>17</v>
      </c>
      <c r="P49" s="1" t="s">
        <v>17</v>
      </c>
      <c r="Q49" s="1"/>
      <c r="R49" s="1"/>
      <c r="S49" s="1"/>
      <c r="T49" s="1"/>
      <c r="U49" s="1"/>
      <c r="V49" s="1"/>
      <c r="W49" s="1"/>
      <c r="X49" s="1"/>
      <c r="Y49" s="1"/>
      <c r="Z49" s="1"/>
    </row>
    <row r="50">
      <c r="A50" s="2">
        <v>49.0</v>
      </c>
      <c r="B50" s="1" t="s">
        <v>249</v>
      </c>
      <c r="C50" s="1" t="s">
        <v>153</v>
      </c>
      <c r="D50" s="2">
        <v>2.0</v>
      </c>
      <c r="E50" s="2">
        <v>120.0</v>
      </c>
      <c r="F50" s="1" t="s">
        <v>250</v>
      </c>
      <c r="G50" s="3" t="s">
        <v>251</v>
      </c>
      <c r="H50" s="1" t="s">
        <v>119</v>
      </c>
      <c r="I50" s="1"/>
      <c r="J50" s="1"/>
      <c r="K50" s="1"/>
      <c r="L50" s="1"/>
      <c r="M50" s="1" t="s">
        <v>17</v>
      </c>
      <c r="N50" s="1" t="s">
        <v>17</v>
      </c>
      <c r="O50" s="1" t="s">
        <v>17</v>
      </c>
      <c r="P50" s="1" t="s">
        <v>17</v>
      </c>
      <c r="Q50" s="1"/>
      <c r="R50" s="1"/>
      <c r="S50" s="1"/>
      <c r="T50" s="1"/>
      <c r="U50" s="1"/>
      <c r="V50" s="1"/>
      <c r="W50" s="1"/>
      <c r="X50" s="1"/>
      <c r="Y50" s="1"/>
      <c r="Z50" s="1"/>
    </row>
    <row r="51">
      <c r="A51" s="2">
        <v>50.0</v>
      </c>
      <c r="B51" s="1" t="s">
        <v>252</v>
      </c>
      <c r="C51" s="1" t="s">
        <v>153</v>
      </c>
      <c r="D51" s="2">
        <v>2.0</v>
      </c>
      <c r="E51" s="2">
        <v>120.0</v>
      </c>
      <c r="F51" s="1" t="s">
        <v>253</v>
      </c>
      <c r="G51" s="7" t="s">
        <v>254</v>
      </c>
      <c r="H51" s="1" t="s">
        <v>255</v>
      </c>
      <c r="I51" s="1" t="s">
        <v>256</v>
      </c>
      <c r="J51" s="1"/>
      <c r="K51" s="1"/>
      <c r="L51" s="1"/>
      <c r="M51" s="1" t="s">
        <v>17</v>
      </c>
      <c r="N51" s="1" t="s">
        <v>17</v>
      </c>
      <c r="O51" s="1" t="s">
        <v>17</v>
      </c>
      <c r="P51" s="1" t="s">
        <v>17</v>
      </c>
      <c r="Q51" s="1"/>
      <c r="R51" s="1"/>
      <c r="S51" s="1"/>
      <c r="T51" s="1"/>
      <c r="U51" s="1"/>
      <c r="V51" s="1"/>
      <c r="W51" s="1"/>
      <c r="X51" s="1"/>
      <c r="Y51" s="1"/>
      <c r="Z51" s="1"/>
    </row>
    <row r="52">
      <c r="A52" s="2">
        <v>51.0</v>
      </c>
      <c r="B52" s="1" t="s">
        <v>175</v>
      </c>
      <c r="C52" s="1" t="s">
        <v>153</v>
      </c>
      <c r="D52" s="2">
        <v>2.0</v>
      </c>
      <c r="E52" s="2">
        <v>120.0</v>
      </c>
      <c r="F52" s="1" t="s">
        <v>176</v>
      </c>
      <c r="G52" s="3" t="s">
        <v>177</v>
      </c>
      <c r="H52" s="1" t="s">
        <v>257</v>
      </c>
      <c r="I52" s="1" t="s">
        <v>258</v>
      </c>
      <c r="J52" s="1"/>
      <c r="K52" s="1"/>
      <c r="L52" s="1"/>
      <c r="M52" s="1" t="s">
        <v>17</v>
      </c>
      <c r="N52" s="1" t="s">
        <v>17</v>
      </c>
      <c r="O52" s="1" t="s">
        <v>17</v>
      </c>
      <c r="P52" s="1" t="s">
        <v>17</v>
      </c>
      <c r="Q52" s="1"/>
      <c r="R52" s="1"/>
      <c r="S52" s="1"/>
      <c r="T52" s="1"/>
      <c r="U52" s="1"/>
      <c r="V52" s="1"/>
      <c r="W52" s="1"/>
      <c r="X52" s="1"/>
      <c r="Y52" s="1"/>
      <c r="Z52" s="1"/>
    </row>
    <row r="53">
      <c r="A53" s="2">
        <v>52.0</v>
      </c>
      <c r="B53" s="1" t="s">
        <v>259</v>
      </c>
      <c r="C53" s="1" t="s">
        <v>153</v>
      </c>
      <c r="D53" s="2">
        <v>2.0</v>
      </c>
      <c r="E53" s="2">
        <v>120.0</v>
      </c>
      <c r="F53" s="1" t="s">
        <v>260</v>
      </c>
      <c r="G53" s="3" t="s">
        <v>261</v>
      </c>
      <c r="H53" s="1" t="s">
        <v>262</v>
      </c>
      <c r="I53" s="1" t="s">
        <v>257</v>
      </c>
      <c r="J53" s="1"/>
      <c r="K53" s="1"/>
      <c r="L53" s="1"/>
      <c r="M53" s="1" t="s">
        <v>17</v>
      </c>
      <c r="N53" s="1" t="s">
        <v>17</v>
      </c>
      <c r="O53" s="1" t="s">
        <v>17</v>
      </c>
      <c r="P53" s="1" t="s">
        <v>17</v>
      </c>
      <c r="Q53" s="1"/>
      <c r="R53" s="1"/>
      <c r="S53" s="1"/>
      <c r="T53" s="1"/>
      <c r="U53" s="1"/>
      <c r="V53" s="1"/>
      <c r="W53" s="1"/>
      <c r="X53" s="1"/>
      <c r="Y53" s="1"/>
      <c r="Z53" s="1"/>
    </row>
    <row r="54">
      <c r="A54" s="2">
        <v>53.0</v>
      </c>
      <c r="B54" s="1" t="s">
        <v>263</v>
      </c>
      <c r="C54" s="1" t="s">
        <v>153</v>
      </c>
      <c r="D54" s="2">
        <v>2.0</v>
      </c>
      <c r="E54" s="2">
        <v>120.0</v>
      </c>
      <c r="F54" s="1" t="s">
        <v>264</v>
      </c>
      <c r="G54" s="3" t="s">
        <v>265</v>
      </c>
      <c r="H54" s="1" t="s">
        <v>266</v>
      </c>
      <c r="I54" s="1" t="s">
        <v>257</v>
      </c>
      <c r="J54" s="1"/>
      <c r="K54" s="1"/>
      <c r="L54" s="1"/>
      <c r="M54" s="1" t="s">
        <v>17</v>
      </c>
      <c r="N54" s="1" t="s">
        <v>17</v>
      </c>
      <c r="O54" s="1" t="s">
        <v>17</v>
      </c>
      <c r="P54" s="1" t="s">
        <v>17</v>
      </c>
      <c r="Q54" s="1"/>
      <c r="R54" s="1"/>
      <c r="S54" s="1"/>
      <c r="T54" s="1"/>
      <c r="U54" s="1"/>
      <c r="V54" s="1"/>
      <c r="W54" s="1"/>
      <c r="X54" s="1"/>
      <c r="Y54" s="1"/>
      <c r="Z54" s="1"/>
    </row>
    <row r="55">
      <c r="A55" s="2">
        <v>54.0</v>
      </c>
      <c r="B55" s="1" t="s">
        <v>267</v>
      </c>
      <c r="C55" s="1" t="s">
        <v>153</v>
      </c>
      <c r="D55" s="2">
        <v>2.0</v>
      </c>
      <c r="E55" s="2">
        <v>120.0</v>
      </c>
      <c r="F55" s="1" t="s">
        <v>268</v>
      </c>
      <c r="G55" s="3" t="s">
        <v>269</v>
      </c>
      <c r="H55" s="1" t="s">
        <v>113</v>
      </c>
      <c r="I55" s="1"/>
      <c r="J55" s="1"/>
      <c r="K55" s="1"/>
      <c r="L55" s="1"/>
      <c r="M55" s="1" t="s">
        <v>17</v>
      </c>
      <c r="N55" s="1" t="s">
        <v>17</v>
      </c>
      <c r="O55" s="1" t="s">
        <v>17</v>
      </c>
      <c r="P55" s="1" t="s">
        <v>17</v>
      </c>
      <c r="Q55" s="1"/>
      <c r="R55" s="1"/>
      <c r="S55" s="1"/>
      <c r="T55" s="1"/>
      <c r="U55" s="1"/>
      <c r="V55" s="1"/>
      <c r="W55" s="1"/>
      <c r="X55" s="1"/>
      <c r="Y55" s="1"/>
      <c r="Z55" s="1"/>
    </row>
    <row r="56">
      <c r="A56" s="2">
        <v>55.0</v>
      </c>
      <c r="B56" s="1" t="s">
        <v>270</v>
      </c>
      <c r="C56" s="1" t="s">
        <v>153</v>
      </c>
      <c r="D56" s="2">
        <v>2.0</v>
      </c>
      <c r="E56" s="2">
        <v>120.0</v>
      </c>
      <c r="F56" s="1" t="s">
        <v>271</v>
      </c>
      <c r="G56" s="3" t="s">
        <v>272</v>
      </c>
      <c r="H56" s="1" t="s">
        <v>113</v>
      </c>
      <c r="I56" s="1"/>
      <c r="J56" s="1"/>
      <c r="K56" s="1"/>
      <c r="L56" s="1"/>
      <c r="M56" s="1" t="s">
        <v>17</v>
      </c>
      <c r="N56" s="1" t="s">
        <v>17</v>
      </c>
      <c r="O56" s="1" t="s">
        <v>17</v>
      </c>
      <c r="P56" s="1" t="s">
        <v>17</v>
      </c>
      <c r="Q56" s="1"/>
      <c r="R56" s="1"/>
      <c r="S56" s="1"/>
      <c r="T56" s="1"/>
      <c r="U56" s="1"/>
      <c r="V56" s="1"/>
      <c r="W56" s="1"/>
      <c r="X56" s="1"/>
      <c r="Y56" s="1"/>
      <c r="Z56" s="1"/>
    </row>
    <row r="57">
      <c r="A57" s="2">
        <v>56.0</v>
      </c>
      <c r="B57" s="1" t="s">
        <v>270</v>
      </c>
      <c r="C57" s="1" t="s">
        <v>153</v>
      </c>
      <c r="D57" s="2">
        <v>2.0</v>
      </c>
      <c r="E57" s="2">
        <v>120.0</v>
      </c>
      <c r="F57" s="1" t="s">
        <v>273</v>
      </c>
      <c r="G57" s="3" t="s">
        <v>274</v>
      </c>
      <c r="H57" s="1" t="s">
        <v>113</v>
      </c>
      <c r="I57" s="1"/>
      <c r="J57" s="1"/>
      <c r="K57" s="1"/>
      <c r="L57" s="1"/>
      <c r="M57" s="1" t="s">
        <v>17</v>
      </c>
      <c r="N57" s="1" t="s">
        <v>17</v>
      </c>
      <c r="O57" s="1" t="s">
        <v>17</v>
      </c>
      <c r="P57" s="1" t="s">
        <v>17</v>
      </c>
      <c r="Q57" s="1"/>
      <c r="R57" s="1"/>
      <c r="S57" s="1"/>
      <c r="T57" s="1"/>
      <c r="U57" s="1"/>
      <c r="V57" s="1"/>
      <c r="W57" s="1"/>
      <c r="X57" s="1"/>
      <c r="Y57" s="1"/>
      <c r="Z57" s="1"/>
    </row>
    <row r="58">
      <c r="A58" s="2">
        <v>57.0</v>
      </c>
      <c r="B58" s="1" t="s">
        <v>275</v>
      </c>
      <c r="C58" s="1" t="s">
        <v>153</v>
      </c>
      <c r="D58" s="2">
        <v>2.0</v>
      </c>
      <c r="E58" s="2">
        <v>120.0</v>
      </c>
      <c r="F58" s="1" t="s">
        <v>276</v>
      </c>
      <c r="G58" s="3" t="s">
        <v>277</v>
      </c>
      <c r="H58" s="1" t="s">
        <v>113</v>
      </c>
      <c r="I58" s="1"/>
      <c r="J58" s="1"/>
      <c r="K58" s="1"/>
      <c r="L58" s="1"/>
      <c r="M58" s="1" t="s">
        <v>17</v>
      </c>
      <c r="N58" s="1" t="s">
        <v>17</v>
      </c>
      <c r="O58" s="1" t="s">
        <v>17</v>
      </c>
      <c r="P58" s="1" t="s">
        <v>17</v>
      </c>
      <c r="Q58" s="1"/>
      <c r="R58" s="1"/>
      <c r="S58" s="1"/>
      <c r="T58" s="1"/>
      <c r="U58" s="1"/>
      <c r="V58" s="1"/>
      <c r="W58" s="1"/>
      <c r="X58" s="1"/>
      <c r="Y58" s="1"/>
      <c r="Z58" s="1"/>
    </row>
    <row r="59">
      <c r="A59" s="2">
        <v>58.0</v>
      </c>
      <c r="B59" s="1" t="s">
        <v>278</v>
      </c>
      <c r="C59" s="1" t="s">
        <v>153</v>
      </c>
      <c r="D59" s="2">
        <v>2.0</v>
      </c>
      <c r="E59" s="2">
        <v>120.0</v>
      </c>
      <c r="F59" s="1" t="s">
        <v>279</v>
      </c>
      <c r="G59" s="3" t="s">
        <v>280</v>
      </c>
      <c r="H59" s="1" t="s">
        <v>113</v>
      </c>
      <c r="I59" s="1"/>
      <c r="J59" s="1"/>
      <c r="K59" s="1"/>
      <c r="L59" s="1"/>
      <c r="M59" s="1" t="s">
        <v>17</v>
      </c>
      <c r="N59" s="1" t="s">
        <v>17</v>
      </c>
      <c r="O59" s="1" t="s">
        <v>17</v>
      </c>
      <c r="P59" s="1" t="s">
        <v>17</v>
      </c>
      <c r="Q59" s="1"/>
      <c r="R59" s="1"/>
      <c r="S59" s="1"/>
      <c r="T59" s="1"/>
      <c r="U59" s="1"/>
      <c r="V59" s="1"/>
      <c r="W59" s="1"/>
      <c r="X59" s="1"/>
      <c r="Y59" s="1"/>
      <c r="Z59" s="1"/>
    </row>
    <row r="60">
      <c r="A60" s="2">
        <v>59.0</v>
      </c>
      <c r="B60" s="1" t="s">
        <v>281</v>
      </c>
      <c r="C60" s="1" t="s">
        <v>153</v>
      </c>
      <c r="D60" s="2">
        <v>2.0</v>
      </c>
      <c r="E60" s="2">
        <v>120.0</v>
      </c>
      <c r="F60" s="1" t="s">
        <v>282</v>
      </c>
      <c r="G60" s="3" t="s">
        <v>283</v>
      </c>
      <c r="H60" s="1" t="s">
        <v>113</v>
      </c>
      <c r="I60" s="1"/>
      <c r="J60" s="1"/>
      <c r="K60" s="1"/>
      <c r="L60" s="1"/>
      <c r="M60" s="1" t="s">
        <v>17</v>
      </c>
      <c r="N60" s="1" t="s">
        <v>17</v>
      </c>
      <c r="O60" s="1" t="s">
        <v>17</v>
      </c>
      <c r="P60" s="1" t="s">
        <v>17</v>
      </c>
      <c r="Q60" s="1"/>
      <c r="R60" s="1"/>
      <c r="S60" s="1"/>
      <c r="T60" s="1"/>
      <c r="U60" s="1"/>
      <c r="V60" s="1"/>
      <c r="W60" s="1"/>
      <c r="X60" s="1"/>
      <c r="Y60" s="1"/>
      <c r="Z60" s="1"/>
    </row>
    <row r="61">
      <c r="A61" s="2">
        <v>60.0</v>
      </c>
      <c r="B61" s="1" t="s">
        <v>284</v>
      </c>
      <c r="C61" s="1" t="s">
        <v>153</v>
      </c>
      <c r="D61" s="2">
        <v>2.0</v>
      </c>
      <c r="E61" s="2">
        <v>120.0</v>
      </c>
      <c r="F61" s="1" t="s">
        <v>285</v>
      </c>
      <c r="G61" s="3" t="s">
        <v>286</v>
      </c>
      <c r="H61" s="1" t="s">
        <v>32</v>
      </c>
      <c r="I61" s="1" t="s">
        <v>115</v>
      </c>
      <c r="J61" s="1" t="s">
        <v>34</v>
      </c>
      <c r="K61" s="1"/>
      <c r="L61" s="1"/>
      <c r="M61" s="1" t="s">
        <v>17</v>
      </c>
      <c r="N61" s="1" t="s">
        <v>17</v>
      </c>
      <c r="O61" s="1" t="s">
        <v>17</v>
      </c>
      <c r="P61" s="1" t="s">
        <v>17</v>
      </c>
      <c r="Q61" s="1"/>
      <c r="R61" s="1"/>
      <c r="S61" s="1"/>
      <c r="T61" s="1"/>
      <c r="U61" s="1"/>
      <c r="V61" s="1"/>
      <c r="W61" s="1"/>
      <c r="X61" s="1"/>
      <c r="Y61" s="1"/>
      <c r="Z61" s="1"/>
    </row>
    <row r="62">
      <c r="A62" s="2">
        <v>61.0</v>
      </c>
      <c r="B62" s="1" t="s">
        <v>287</v>
      </c>
      <c r="C62" s="1" t="s">
        <v>153</v>
      </c>
      <c r="D62" s="2">
        <v>2.0</v>
      </c>
      <c r="E62" s="2">
        <v>120.0</v>
      </c>
      <c r="F62" s="1" t="s">
        <v>288</v>
      </c>
      <c r="G62" s="3" t="s">
        <v>289</v>
      </c>
      <c r="H62" s="1" t="s">
        <v>50</v>
      </c>
      <c r="I62" s="1"/>
      <c r="J62" s="1"/>
      <c r="K62" s="1"/>
      <c r="L62" s="1"/>
      <c r="M62" s="1" t="s">
        <v>17</v>
      </c>
      <c r="N62" s="1" t="s">
        <v>17</v>
      </c>
      <c r="O62" s="1" t="s">
        <v>17</v>
      </c>
      <c r="P62" s="1" t="s">
        <v>17</v>
      </c>
      <c r="Q62" s="1"/>
      <c r="R62" s="1"/>
      <c r="S62" s="1"/>
      <c r="T62" s="1"/>
      <c r="U62" s="1"/>
      <c r="V62" s="1"/>
      <c r="W62" s="1"/>
      <c r="X62" s="1"/>
      <c r="Y62" s="1"/>
      <c r="Z62" s="1"/>
    </row>
    <row r="63">
      <c r="A63" s="2">
        <v>62.0</v>
      </c>
      <c r="B63" s="1" t="s">
        <v>290</v>
      </c>
      <c r="C63" s="1" t="s">
        <v>153</v>
      </c>
      <c r="D63" s="2">
        <v>2.0</v>
      </c>
      <c r="E63" s="2">
        <v>120.0</v>
      </c>
      <c r="F63" s="1" t="s">
        <v>291</v>
      </c>
      <c r="G63" s="3" t="s">
        <v>292</v>
      </c>
      <c r="H63" s="1" t="s">
        <v>293</v>
      </c>
      <c r="I63" s="1" t="s">
        <v>51</v>
      </c>
      <c r="J63" s="1"/>
      <c r="K63" s="1"/>
      <c r="L63" s="1"/>
      <c r="M63" s="1" t="s">
        <v>17</v>
      </c>
      <c r="N63" s="1" t="s">
        <v>17</v>
      </c>
      <c r="O63" s="1" t="s">
        <v>17</v>
      </c>
      <c r="P63" s="1" t="s">
        <v>17</v>
      </c>
      <c r="Q63" s="1"/>
      <c r="R63" s="1"/>
      <c r="S63" s="1"/>
      <c r="T63" s="1"/>
      <c r="U63" s="1"/>
      <c r="V63" s="1"/>
      <c r="W63" s="1"/>
      <c r="X63" s="1"/>
      <c r="Y63" s="1"/>
      <c r="Z63" s="1"/>
    </row>
    <row r="64">
      <c r="A64" s="2">
        <v>63.0</v>
      </c>
      <c r="B64" s="1" t="s">
        <v>294</v>
      </c>
      <c r="C64" s="1" t="s">
        <v>153</v>
      </c>
      <c r="D64" s="2">
        <v>2.0</v>
      </c>
      <c r="E64" s="2">
        <v>120.0</v>
      </c>
      <c r="F64" s="1" t="s">
        <v>295</v>
      </c>
      <c r="G64" s="3" t="s">
        <v>296</v>
      </c>
      <c r="H64" s="1" t="s">
        <v>297</v>
      </c>
      <c r="I64" s="1" t="s">
        <v>298</v>
      </c>
      <c r="J64" s="1"/>
      <c r="K64" s="1"/>
      <c r="L64" s="1"/>
      <c r="M64" s="1" t="s">
        <v>17</v>
      </c>
      <c r="N64" s="1" t="s">
        <v>17</v>
      </c>
      <c r="O64" s="1" t="s">
        <v>17</v>
      </c>
      <c r="P64" s="1" t="s">
        <v>17</v>
      </c>
      <c r="Q64" s="1"/>
      <c r="R64" s="1"/>
      <c r="S64" s="1"/>
      <c r="T64" s="1"/>
      <c r="U64" s="1"/>
      <c r="V64" s="1"/>
      <c r="W64" s="1"/>
      <c r="X64" s="1"/>
      <c r="Y64" s="1"/>
      <c r="Z64" s="1"/>
    </row>
    <row r="65">
      <c r="A65" s="2">
        <v>64.0</v>
      </c>
      <c r="B65" s="1" t="s">
        <v>299</v>
      </c>
      <c r="C65" s="1" t="s">
        <v>153</v>
      </c>
      <c r="D65" s="2">
        <v>2.0</v>
      </c>
      <c r="E65" s="2">
        <v>120.0</v>
      </c>
      <c r="F65" s="1" t="s">
        <v>300</v>
      </c>
      <c r="G65" s="3" t="s">
        <v>301</v>
      </c>
      <c r="H65" s="1" t="s">
        <v>293</v>
      </c>
      <c r="I65" s="1" t="s">
        <v>302</v>
      </c>
      <c r="J65" s="1"/>
      <c r="K65" s="1"/>
      <c r="L65" s="1"/>
      <c r="M65" s="1" t="s">
        <v>17</v>
      </c>
      <c r="N65" s="1" t="s">
        <v>17</v>
      </c>
      <c r="O65" s="1" t="s">
        <v>17</v>
      </c>
      <c r="P65" s="1" t="s">
        <v>17</v>
      </c>
      <c r="Q65" s="1"/>
      <c r="R65" s="1"/>
      <c r="S65" s="1"/>
      <c r="T65" s="1"/>
      <c r="U65" s="1"/>
      <c r="V65" s="1"/>
      <c r="W65" s="1"/>
      <c r="X65" s="1"/>
      <c r="Y65" s="1"/>
      <c r="Z65" s="1"/>
    </row>
    <row r="66">
      <c r="A66" s="2">
        <v>65.0</v>
      </c>
      <c r="B66" s="1" t="s">
        <v>147</v>
      </c>
      <c r="C66" s="1" t="s">
        <v>153</v>
      </c>
      <c r="D66" s="2">
        <v>2.0</v>
      </c>
      <c r="E66" s="2">
        <v>120.0</v>
      </c>
      <c r="F66" s="1" t="s">
        <v>303</v>
      </c>
      <c r="G66" s="3" t="s">
        <v>304</v>
      </c>
      <c r="H66" s="1" t="s">
        <v>147</v>
      </c>
      <c r="I66" s="1"/>
      <c r="J66" s="1"/>
      <c r="K66" s="1"/>
      <c r="L66" s="1"/>
      <c r="M66" s="1" t="s">
        <v>17</v>
      </c>
      <c r="N66" s="1" t="s">
        <v>17</v>
      </c>
      <c r="O66" s="1" t="s">
        <v>17</v>
      </c>
      <c r="P66" s="1" t="s">
        <v>17</v>
      </c>
      <c r="Q66" s="1"/>
      <c r="R66" s="1"/>
      <c r="S66" s="1"/>
      <c r="T66" s="1"/>
      <c r="U66" s="1"/>
      <c r="V66" s="1"/>
      <c r="W66" s="1"/>
      <c r="X66" s="1"/>
      <c r="Y66" s="1"/>
      <c r="Z66" s="1"/>
    </row>
    <row r="67">
      <c r="A67" s="2">
        <v>66.0</v>
      </c>
      <c r="B67" s="1" t="s">
        <v>305</v>
      </c>
      <c r="C67" s="1" t="s">
        <v>153</v>
      </c>
      <c r="D67" s="2">
        <v>2.0</v>
      </c>
      <c r="E67" s="2">
        <v>120.0</v>
      </c>
      <c r="F67" s="1" t="s">
        <v>306</v>
      </c>
      <c r="G67" s="3" t="s">
        <v>307</v>
      </c>
      <c r="H67" s="1" t="s">
        <v>308</v>
      </c>
      <c r="I67" s="1" t="s">
        <v>147</v>
      </c>
      <c r="J67" s="1"/>
      <c r="K67" s="1"/>
      <c r="L67" s="1"/>
      <c r="M67" s="1" t="s">
        <v>17</v>
      </c>
      <c r="N67" s="1" t="s">
        <v>17</v>
      </c>
      <c r="O67" s="1" t="s">
        <v>17</v>
      </c>
      <c r="P67" s="1" t="s">
        <v>17</v>
      </c>
      <c r="Q67" s="1"/>
      <c r="R67" s="1"/>
      <c r="S67" s="1"/>
      <c r="T67" s="1"/>
      <c r="U67" s="1"/>
      <c r="V67" s="1"/>
      <c r="W67" s="1"/>
      <c r="X67" s="1"/>
      <c r="Y67" s="1"/>
      <c r="Z67" s="1"/>
    </row>
    <row r="68">
      <c r="A68" s="2">
        <v>67.0</v>
      </c>
      <c r="B68" s="1" t="s">
        <v>69</v>
      </c>
      <c r="C68" s="1" t="s">
        <v>153</v>
      </c>
      <c r="D68" s="2">
        <v>2.0</v>
      </c>
      <c r="E68" s="2">
        <v>120.0</v>
      </c>
      <c r="F68" s="1" t="s">
        <v>309</v>
      </c>
      <c r="G68" s="7" t="s">
        <v>310</v>
      </c>
      <c r="H68" s="1" t="s">
        <v>44</v>
      </c>
      <c r="I68" s="1" t="s">
        <v>156</v>
      </c>
      <c r="J68" s="1"/>
      <c r="K68" s="1"/>
      <c r="L68" s="1"/>
      <c r="M68" s="1" t="s">
        <v>17</v>
      </c>
      <c r="N68" s="1" t="s">
        <v>17</v>
      </c>
      <c r="O68" s="1" t="s">
        <v>17</v>
      </c>
      <c r="P68" s="1" t="s">
        <v>17</v>
      </c>
      <c r="Q68" s="1"/>
      <c r="R68" s="1"/>
      <c r="S68" s="1"/>
      <c r="T68" s="1"/>
      <c r="U68" s="1"/>
      <c r="V68" s="1"/>
      <c r="W68" s="1"/>
      <c r="X68" s="1"/>
      <c r="Y68" s="1"/>
      <c r="Z68" s="1"/>
    </row>
    <row r="69">
      <c r="A69" s="2">
        <v>68.0</v>
      </c>
      <c r="B69" s="1" t="s">
        <v>311</v>
      </c>
      <c r="C69" s="1" t="s">
        <v>153</v>
      </c>
      <c r="D69" s="2">
        <v>2.0</v>
      </c>
      <c r="E69" s="2">
        <v>120.0</v>
      </c>
      <c r="F69" s="1" t="s">
        <v>312</v>
      </c>
      <c r="G69" s="7" t="s">
        <v>313</v>
      </c>
      <c r="H69" s="1" t="s">
        <v>44</v>
      </c>
      <c r="I69" s="1"/>
      <c r="J69" s="1"/>
      <c r="K69" s="1"/>
      <c r="L69" s="1"/>
      <c r="M69" s="1" t="s">
        <v>17</v>
      </c>
      <c r="N69" s="1" t="s">
        <v>17</v>
      </c>
      <c r="O69" s="1" t="s">
        <v>17</v>
      </c>
      <c r="P69" s="1" t="s">
        <v>17</v>
      </c>
      <c r="Q69" s="1"/>
      <c r="R69" s="1"/>
      <c r="S69" s="1"/>
      <c r="T69" s="1"/>
      <c r="U69" s="1"/>
      <c r="V69" s="1"/>
      <c r="W69" s="1"/>
      <c r="X69" s="1"/>
      <c r="Y69" s="1"/>
      <c r="Z69" s="1"/>
    </row>
    <row r="70">
      <c r="A70" s="2">
        <v>69.0</v>
      </c>
      <c r="B70" s="1" t="s">
        <v>314</v>
      </c>
      <c r="C70" s="1" t="s">
        <v>153</v>
      </c>
      <c r="D70" s="2">
        <v>2.0</v>
      </c>
      <c r="E70" s="2">
        <v>120.0</v>
      </c>
      <c r="F70" s="1" t="s">
        <v>315</v>
      </c>
      <c r="G70" s="3" t="s">
        <v>316</v>
      </c>
      <c r="H70" s="1" t="s">
        <v>68</v>
      </c>
      <c r="I70" s="1" t="s">
        <v>317</v>
      </c>
      <c r="J70" s="1"/>
      <c r="K70" s="1"/>
      <c r="L70" s="1"/>
      <c r="M70" s="1" t="s">
        <v>17</v>
      </c>
      <c r="N70" s="1" t="s">
        <v>17</v>
      </c>
      <c r="O70" s="1" t="s">
        <v>17</v>
      </c>
      <c r="P70" s="1" t="s">
        <v>17</v>
      </c>
      <c r="Q70" s="1"/>
      <c r="R70" s="1"/>
      <c r="S70" s="1"/>
      <c r="T70" s="1"/>
      <c r="U70" s="1"/>
      <c r="V70" s="1"/>
      <c r="W70" s="1"/>
      <c r="X70" s="1"/>
      <c r="Y70" s="1"/>
      <c r="Z70" s="1"/>
    </row>
    <row r="71">
      <c r="A71" s="2">
        <v>70.0</v>
      </c>
      <c r="B71" s="1" t="s">
        <v>318</v>
      </c>
      <c r="C71" s="1" t="s">
        <v>153</v>
      </c>
      <c r="D71" s="2">
        <v>2.0</v>
      </c>
      <c r="E71" s="2">
        <v>120.0</v>
      </c>
      <c r="F71" s="1" t="s">
        <v>319</v>
      </c>
      <c r="G71" s="3" t="s">
        <v>320</v>
      </c>
      <c r="H71" s="1" t="s">
        <v>139</v>
      </c>
      <c r="I71" s="1"/>
      <c r="J71" s="1"/>
      <c r="K71" s="1"/>
      <c r="L71" s="1"/>
      <c r="M71" s="1" t="s">
        <v>17</v>
      </c>
      <c r="N71" s="1" t="s">
        <v>17</v>
      </c>
      <c r="O71" s="1" t="s">
        <v>17</v>
      </c>
      <c r="P71" s="1" t="s">
        <v>17</v>
      </c>
      <c r="Q71" s="1"/>
      <c r="R71" s="1"/>
      <c r="S71" s="1"/>
      <c r="T71" s="1"/>
      <c r="U71" s="1"/>
      <c r="V71" s="1"/>
      <c r="W71" s="1"/>
      <c r="X71" s="1"/>
      <c r="Y71" s="1"/>
      <c r="Z71" s="1"/>
    </row>
    <row r="72">
      <c r="A72" s="2">
        <v>71.0</v>
      </c>
      <c r="B72" s="1" t="s">
        <v>321</v>
      </c>
      <c r="C72" s="1" t="s">
        <v>153</v>
      </c>
      <c r="D72" s="2">
        <v>2.0</v>
      </c>
      <c r="E72" s="2">
        <v>120.0</v>
      </c>
      <c r="F72" s="1" t="s">
        <v>322</v>
      </c>
      <c r="G72" s="7" t="s">
        <v>323</v>
      </c>
      <c r="H72" s="1" t="s">
        <v>257</v>
      </c>
      <c r="I72" s="1"/>
      <c r="J72" s="1"/>
      <c r="K72" s="1"/>
      <c r="L72" s="1"/>
      <c r="M72" s="1" t="s">
        <v>17</v>
      </c>
      <c r="N72" s="1" t="s">
        <v>17</v>
      </c>
      <c r="O72" s="1" t="s">
        <v>17</v>
      </c>
      <c r="P72" s="1" t="s">
        <v>17</v>
      </c>
      <c r="Q72" s="1"/>
      <c r="R72" s="1"/>
      <c r="S72" s="1"/>
      <c r="T72" s="1"/>
      <c r="U72" s="1"/>
      <c r="V72" s="1"/>
      <c r="W72" s="1"/>
      <c r="X72" s="1"/>
      <c r="Y72" s="1"/>
      <c r="Z72" s="1"/>
    </row>
    <row r="73">
      <c r="A73" s="2">
        <v>72.0</v>
      </c>
      <c r="B73" s="1" t="s">
        <v>324</v>
      </c>
      <c r="C73" s="1" t="s">
        <v>153</v>
      </c>
      <c r="D73" s="2">
        <v>2.0</v>
      </c>
      <c r="E73" s="2">
        <v>120.0</v>
      </c>
      <c r="F73" s="1" t="s">
        <v>325</v>
      </c>
      <c r="G73" s="3" t="s">
        <v>326</v>
      </c>
      <c r="H73" s="1" t="s">
        <v>68</v>
      </c>
      <c r="I73" s="1"/>
      <c r="J73" s="1"/>
      <c r="K73" s="1"/>
      <c r="L73" s="1"/>
      <c r="M73" s="1" t="s">
        <v>17</v>
      </c>
      <c r="N73" s="1" t="s">
        <v>17</v>
      </c>
      <c r="O73" s="1" t="s">
        <v>17</v>
      </c>
      <c r="P73" s="1" t="s">
        <v>17</v>
      </c>
      <c r="Q73" s="1"/>
      <c r="R73" s="1"/>
      <c r="S73" s="1"/>
      <c r="T73" s="1"/>
      <c r="U73" s="1"/>
      <c r="V73" s="1"/>
      <c r="W73" s="1"/>
      <c r="X73" s="1"/>
      <c r="Y73" s="1"/>
      <c r="Z73" s="1"/>
    </row>
    <row r="74">
      <c r="A74" s="2">
        <v>73.0</v>
      </c>
      <c r="B74" s="1" t="s">
        <v>327</v>
      </c>
      <c r="C74" s="1" t="s">
        <v>153</v>
      </c>
      <c r="D74" s="2">
        <v>2.0</v>
      </c>
      <c r="E74" s="2">
        <v>120.0</v>
      </c>
      <c r="F74" s="1" t="s">
        <v>328</v>
      </c>
      <c r="G74" s="7" t="s">
        <v>329</v>
      </c>
      <c r="H74" s="1" t="s">
        <v>330</v>
      </c>
      <c r="I74" s="1" t="s">
        <v>331</v>
      </c>
      <c r="J74" s="1"/>
      <c r="K74" s="1"/>
      <c r="L74" s="1"/>
      <c r="M74" s="1" t="s">
        <v>17</v>
      </c>
      <c r="N74" s="1" t="s">
        <v>17</v>
      </c>
      <c r="O74" s="1" t="s">
        <v>17</v>
      </c>
      <c r="P74" s="1" t="s">
        <v>17</v>
      </c>
      <c r="Q74" s="1"/>
      <c r="R74" s="1"/>
      <c r="S74" s="1"/>
      <c r="T74" s="1"/>
      <c r="U74" s="1"/>
      <c r="V74" s="1"/>
      <c r="W74" s="1"/>
      <c r="X74" s="1"/>
      <c r="Y74" s="1"/>
      <c r="Z74" s="1"/>
    </row>
    <row r="75">
      <c r="A75" s="2">
        <v>74.0</v>
      </c>
      <c r="B75" s="1" t="s">
        <v>332</v>
      </c>
      <c r="C75" s="1" t="s">
        <v>153</v>
      </c>
      <c r="D75" s="2">
        <v>2.0</v>
      </c>
      <c r="E75" s="2">
        <v>120.0</v>
      </c>
      <c r="F75" s="1" t="s">
        <v>333</v>
      </c>
      <c r="G75" s="3" t="s">
        <v>334</v>
      </c>
      <c r="H75" s="1" t="s">
        <v>147</v>
      </c>
      <c r="I75" s="1" t="s">
        <v>115</v>
      </c>
      <c r="J75" s="1"/>
      <c r="K75" s="1"/>
      <c r="L75" s="1"/>
      <c r="M75" s="1" t="s">
        <v>17</v>
      </c>
      <c r="N75" s="1" t="s">
        <v>17</v>
      </c>
      <c r="O75" s="1" t="s">
        <v>17</v>
      </c>
      <c r="P75" s="1" t="s">
        <v>17</v>
      </c>
      <c r="Q75" s="1"/>
      <c r="R75" s="1"/>
      <c r="S75" s="1"/>
      <c r="T75" s="1"/>
      <c r="U75" s="1"/>
      <c r="V75" s="1"/>
      <c r="W75" s="1"/>
      <c r="X75" s="1"/>
      <c r="Y75" s="1"/>
      <c r="Z75" s="1"/>
    </row>
    <row r="76">
      <c r="A76" s="2">
        <v>75.0</v>
      </c>
      <c r="B76" s="1" t="s">
        <v>335</v>
      </c>
      <c r="C76" s="1" t="s">
        <v>153</v>
      </c>
      <c r="D76" s="2">
        <v>2.0</v>
      </c>
      <c r="E76" s="2">
        <v>120.0</v>
      </c>
      <c r="F76" s="1" t="s">
        <v>336</v>
      </c>
      <c r="G76" s="7" t="s">
        <v>337</v>
      </c>
      <c r="H76" s="1" t="s">
        <v>51</v>
      </c>
      <c r="I76" s="1" t="s">
        <v>35</v>
      </c>
      <c r="J76" s="1"/>
      <c r="K76" s="1"/>
      <c r="L76" s="1"/>
      <c r="M76" s="1" t="s">
        <v>17</v>
      </c>
      <c r="N76" s="1" t="s">
        <v>17</v>
      </c>
      <c r="O76" s="1" t="s">
        <v>17</v>
      </c>
      <c r="P76" s="1" t="s">
        <v>17</v>
      </c>
      <c r="Q76" s="1"/>
      <c r="R76" s="1"/>
      <c r="S76" s="1"/>
      <c r="T76" s="1"/>
      <c r="U76" s="1"/>
      <c r="V76" s="1"/>
      <c r="W76" s="1"/>
      <c r="X76" s="1"/>
      <c r="Y76" s="1"/>
      <c r="Z76" s="1"/>
    </row>
    <row r="77">
      <c r="A77" s="2">
        <v>76.0</v>
      </c>
      <c r="B77" s="1" t="s">
        <v>338</v>
      </c>
      <c r="C77" s="1" t="s">
        <v>153</v>
      </c>
      <c r="D77" s="2">
        <v>2.0</v>
      </c>
      <c r="E77" s="2">
        <v>120.0</v>
      </c>
      <c r="F77" s="1" t="s">
        <v>339</v>
      </c>
      <c r="G77" s="3" t="s">
        <v>340</v>
      </c>
      <c r="H77" s="1" t="s">
        <v>81</v>
      </c>
      <c r="I77" s="1"/>
      <c r="J77" s="1"/>
      <c r="K77" s="1"/>
      <c r="L77" s="1"/>
      <c r="M77" s="1" t="s">
        <v>17</v>
      </c>
      <c r="N77" s="1" t="s">
        <v>17</v>
      </c>
      <c r="O77" s="1" t="s">
        <v>17</v>
      </c>
      <c r="P77" s="1" t="s">
        <v>17</v>
      </c>
      <c r="Q77" s="1"/>
      <c r="R77" s="1"/>
      <c r="S77" s="1"/>
      <c r="T77" s="1"/>
      <c r="U77" s="1"/>
      <c r="V77" s="1"/>
      <c r="W77" s="1"/>
      <c r="X77" s="1"/>
      <c r="Y77" s="1"/>
      <c r="Z77" s="1"/>
    </row>
    <row r="78">
      <c r="A78" s="1"/>
      <c r="B78" s="1"/>
      <c r="C78" s="1"/>
      <c r="D78" s="1"/>
      <c r="E78" s="1"/>
      <c r="F78" s="8"/>
      <c r="G78" s="1"/>
      <c r="H78" s="1" t="s">
        <v>17</v>
      </c>
      <c r="I78" s="1" t="s">
        <v>17</v>
      </c>
      <c r="J78" s="1" t="s">
        <v>17</v>
      </c>
      <c r="K78" s="1" t="s">
        <v>17</v>
      </c>
      <c r="L78" s="1" t="s">
        <v>17</v>
      </c>
      <c r="M78" s="1" t="s">
        <v>17</v>
      </c>
      <c r="N78" s="1" t="s">
        <v>17</v>
      </c>
      <c r="O78" s="1" t="s">
        <v>17</v>
      </c>
      <c r="P78" s="1" t="s">
        <v>17</v>
      </c>
      <c r="Q78" s="1"/>
      <c r="R78" s="1"/>
      <c r="S78" s="1"/>
      <c r="T78" s="1"/>
      <c r="U78" s="1"/>
      <c r="V78" s="1"/>
      <c r="W78" s="1"/>
      <c r="X78" s="1"/>
      <c r="Y78" s="1"/>
      <c r="Z78" s="1"/>
    </row>
    <row r="79">
      <c r="A79" s="1"/>
      <c r="B79" s="1"/>
      <c r="C79" s="1"/>
      <c r="D79" s="1"/>
      <c r="E79" s="1"/>
      <c r="F79" s="8"/>
      <c r="G79" s="1"/>
      <c r="H79" s="8"/>
      <c r="I79" s="1"/>
      <c r="J79" s="1"/>
      <c r="K79" s="1"/>
      <c r="L79" s="1"/>
      <c r="M79" s="1"/>
      <c r="N79" s="1"/>
      <c r="O79" s="1"/>
      <c r="P79" s="1"/>
      <c r="Q79" s="1"/>
      <c r="R79" s="1"/>
      <c r="S79" s="1"/>
      <c r="T79" s="1"/>
      <c r="U79" s="1"/>
      <c r="V79" s="1"/>
      <c r="W79" s="1"/>
      <c r="X79" s="1"/>
      <c r="Y79" s="1"/>
      <c r="Z79" s="1"/>
    </row>
    <row r="80">
      <c r="A80" s="1"/>
      <c r="B80" s="1"/>
      <c r="C80" s="1"/>
      <c r="D80" s="1"/>
      <c r="E80" s="1"/>
      <c r="F80" s="8"/>
      <c r="G80" s="1"/>
      <c r="H80" s="8"/>
      <c r="I80" s="1"/>
      <c r="J80" s="1"/>
      <c r="K80" s="1"/>
      <c r="L80" s="1"/>
      <c r="M80" s="1"/>
      <c r="N80" s="1"/>
      <c r="O80" s="1"/>
      <c r="P80" s="1"/>
      <c r="Q80" s="1"/>
      <c r="R80" s="1"/>
      <c r="S80" s="1" t="str">
        <f t="shared" ref="S80:V80" si="1">PROPER(H80)</f>
        <v/>
      </c>
      <c r="T80" s="1" t="str">
        <f t="shared" si="1"/>
        <v/>
      </c>
      <c r="U80" s="1" t="str">
        <f t="shared" si="1"/>
        <v/>
      </c>
      <c r="V80" s="1" t="str">
        <f t="shared" si="1"/>
        <v/>
      </c>
      <c r="W80" s="1"/>
      <c r="X80" s="1"/>
      <c r="Y80" s="1"/>
      <c r="Z80" s="1"/>
    </row>
    <row r="81">
      <c r="A81" s="1"/>
      <c r="B81" s="1"/>
      <c r="C81" s="1"/>
      <c r="D81" s="1"/>
      <c r="E81" s="1"/>
      <c r="F81" s="8"/>
      <c r="G81" s="1"/>
      <c r="H81" s="8"/>
      <c r="I81" s="1"/>
      <c r="J81" s="1"/>
      <c r="K81" s="1"/>
      <c r="L81" s="1"/>
      <c r="M81" s="1"/>
      <c r="N81" s="1"/>
      <c r="O81" s="1"/>
      <c r="P81" s="1"/>
      <c r="Q81" s="1"/>
      <c r="R81" s="1"/>
      <c r="S81" s="1" t="str">
        <f t="shared" ref="S81:V81" si="2">PROPER(H81)</f>
        <v/>
      </c>
      <c r="T81" s="1" t="str">
        <f t="shared" si="2"/>
        <v/>
      </c>
      <c r="U81" s="1" t="str">
        <f t="shared" si="2"/>
        <v/>
      </c>
      <c r="V81" s="1" t="str">
        <f t="shared" si="2"/>
        <v/>
      </c>
      <c r="W81" s="1"/>
      <c r="X81" s="1"/>
      <c r="Y81" s="1"/>
      <c r="Z81" s="1"/>
    </row>
    <row r="82">
      <c r="A82" s="1"/>
      <c r="B82" s="1"/>
      <c r="C82" s="1"/>
      <c r="D82" s="1"/>
      <c r="E82" s="1"/>
      <c r="F82" s="8"/>
      <c r="G82" s="1"/>
      <c r="H82" s="8"/>
      <c r="I82" s="1"/>
      <c r="J82" s="1"/>
      <c r="K82" s="1"/>
      <c r="L82" s="1"/>
      <c r="M82" s="1"/>
      <c r="N82" s="1"/>
      <c r="O82" s="1"/>
      <c r="P82" s="1"/>
      <c r="Q82" s="1"/>
      <c r="R82" s="1"/>
      <c r="S82" s="1" t="str">
        <f t="shared" ref="S82:V82" si="3">PROPER(H82)</f>
        <v/>
      </c>
      <c r="T82" s="1" t="str">
        <f t="shared" si="3"/>
        <v/>
      </c>
      <c r="U82" s="1" t="str">
        <f t="shared" si="3"/>
        <v/>
      </c>
      <c r="V82" s="1" t="str">
        <f t="shared" si="3"/>
        <v/>
      </c>
      <c r="W82" s="1"/>
      <c r="X82" s="1"/>
      <c r="Y82" s="1"/>
      <c r="Z82" s="1"/>
    </row>
    <row r="83">
      <c r="A83" s="1"/>
      <c r="B83" s="1"/>
      <c r="C83" s="1"/>
      <c r="D83" s="1"/>
      <c r="E83" s="1"/>
      <c r="F83" s="8"/>
      <c r="G83" s="1"/>
      <c r="H83" s="8"/>
      <c r="I83" s="1"/>
      <c r="J83" s="1"/>
      <c r="K83" s="1"/>
      <c r="L83" s="1"/>
      <c r="M83" s="1"/>
      <c r="N83" s="1"/>
      <c r="O83" s="1"/>
      <c r="P83" s="1"/>
      <c r="Q83" s="1"/>
      <c r="R83" s="1"/>
      <c r="S83" s="1" t="str">
        <f t="shared" ref="S83:V83" si="4">PROPER(H83)</f>
        <v/>
      </c>
      <c r="T83" s="1" t="str">
        <f t="shared" si="4"/>
        <v/>
      </c>
      <c r="U83" s="1" t="str">
        <f t="shared" si="4"/>
        <v/>
      </c>
      <c r="V83" s="1" t="str">
        <f t="shared" si="4"/>
        <v/>
      </c>
      <c r="W83" s="1"/>
      <c r="X83" s="1"/>
      <c r="Y83" s="1"/>
      <c r="Z83" s="1"/>
    </row>
    <row r="84">
      <c r="A84" s="1"/>
      <c r="B84" s="1"/>
      <c r="C84" s="1"/>
      <c r="D84" s="1"/>
      <c r="E84" s="1"/>
      <c r="F84" s="8"/>
      <c r="G84" s="1"/>
      <c r="H84" s="8"/>
      <c r="I84" s="1"/>
      <c r="J84" s="1"/>
      <c r="K84" s="1"/>
      <c r="L84" s="1"/>
      <c r="M84" s="1"/>
      <c r="N84" s="1"/>
      <c r="O84" s="1"/>
      <c r="P84" s="1"/>
      <c r="Q84" s="1"/>
      <c r="R84" s="1"/>
      <c r="S84" s="1" t="str">
        <f t="shared" ref="S84:V84" si="5">PROPER(H84)</f>
        <v/>
      </c>
      <c r="T84" s="1" t="str">
        <f t="shared" si="5"/>
        <v/>
      </c>
      <c r="U84" s="1" t="str">
        <f t="shared" si="5"/>
        <v/>
      </c>
      <c r="V84" s="1" t="str">
        <f t="shared" si="5"/>
        <v/>
      </c>
      <c r="W84" s="1"/>
      <c r="X84" s="1"/>
      <c r="Y84" s="1"/>
      <c r="Z84" s="1"/>
    </row>
    <row r="85">
      <c r="A85" s="1"/>
      <c r="B85" s="1"/>
      <c r="C85" s="1"/>
      <c r="D85" s="1"/>
      <c r="E85" s="1"/>
      <c r="F85" s="8"/>
      <c r="G85" s="1"/>
      <c r="H85" s="8"/>
      <c r="I85" s="1"/>
      <c r="J85" s="1"/>
      <c r="K85" s="1"/>
      <c r="L85" s="1"/>
      <c r="M85" s="1"/>
      <c r="N85" s="1"/>
      <c r="O85" s="1"/>
      <c r="P85" s="1"/>
      <c r="Q85" s="1"/>
      <c r="R85" s="1"/>
      <c r="S85" s="1" t="str">
        <f t="shared" ref="S85:V85" si="6">PROPER(H85)</f>
        <v/>
      </c>
      <c r="T85" s="1" t="str">
        <f t="shared" si="6"/>
        <v/>
      </c>
      <c r="U85" s="1" t="str">
        <f t="shared" si="6"/>
        <v/>
      </c>
      <c r="V85" s="1" t="str">
        <f t="shared" si="6"/>
        <v/>
      </c>
      <c r="W85" s="1"/>
      <c r="X85" s="1"/>
      <c r="Y85" s="1"/>
      <c r="Z85" s="1"/>
    </row>
    <row r="86">
      <c r="A86" s="1"/>
      <c r="B86" s="1"/>
      <c r="C86" s="1"/>
      <c r="D86" s="1"/>
      <c r="E86" s="1"/>
      <c r="F86" s="8"/>
      <c r="G86" s="1"/>
      <c r="H86" s="8"/>
      <c r="I86" s="1"/>
      <c r="J86" s="1"/>
      <c r="K86" s="1"/>
      <c r="L86" s="1"/>
      <c r="M86" s="1"/>
      <c r="N86" s="1"/>
      <c r="O86" s="1"/>
      <c r="P86" s="1"/>
      <c r="Q86" s="1"/>
      <c r="R86" s="1"/>
      <c r="S86" s="1" t="str">
        <f t="shared" ref="S86:V86" si="7">PROPER(H86)</f>
        <v/>
      </c>
      <c r="T86" s="1" t="str">
        <f t="shared" si="7"/>
        <v/>
      </c>
      <c r="U86" s="1" t="str">
        <f t="shared" si="7"/>
        <v/>
      </c>
      <c r="V86" s="1" t="str">
        <f t="shared" si="7"/>
        <v/>
      </c>
      <c r="W86" s="1"/>
      <c r="X86" s="1"/>
      <c r="Y86" s="1"/>
      <c r="Z86" s="1"/>
    </row>
    <row r="87">
      <c r="A87" s="1"/>
      <c r="B87" s="1"/>
      <c r="C87" s="1"/>
      <c r="D87" s="1"/>
      <c r="E87" s="1"/>
      <c r="F87" s="8"/>
      <c r="G87" s="1"/>
      <c r="H87" s="8"/>
      <c r="I87" s="1"/>
      <c r="J87" s="1"/>
      <c r="K87" s="1"/>
      <c r="L87" s="1"/>
      <c r="M87" s="1"/>
      <c r="N87" s="1"/>
      <c r="O87" s="1"/>
      <c r="P87" s="1"/>
      <c r="Q87" s="1"/>
      <c r="R87" s="1"/>
      <c r="S87" s="1" t="str">
        <f t="shared" ref="S87:V87" si="8">PROPER(H87)</f>
        <v/>
      </c>
      <c r="T87" s="1" t="str">
        <f t="shared" si="8"/>
        <v/>
      </c>
      <c r="U87" s="1" t="str">
        <f t="shared" si="8"/>
        <v/>
      </c>
      <c r="V87" s="1" t="str">
        <f t="shared" si="8"/>
        <v/>
      </c>
      <c r="W87" s="1"/>
      <c r="X87" s="1"/>
      <c r="Y87" s="1"/>
      <c r="Z87" s="1"/>
    </row>
    <row r="88">
      <c r="A88" s="1"/>
      <c r="B88" s="1"/>
      <c r="C88" s="1"/>
      <c r="D88" s="1"/>
      <c r="E88" s="1"/>
      <c r="F88" s="8"/>
      <c r="G88" s="1"/>
      <c r="H88" s="8"/>
      <c r="I88" s="1"/>
      <c r="J88" s="1"/>
      <c r="K88" s="1"/>
      <c r="L88" s="1"/>
      <c r="M88" s="1"/>
      <c r="N88" s="1"/>
      <c r="O88" s="1"/>
      <c r="P88" s="1"/>
      <c r="Q88" s="1"/>
      <c r="R88" s="1"/>
      <c r="S88" s="1" t="str">
        <f t="shared" ref="S88:V88" si="9">PROPER(H88)</f>
        <v/>
      </c>
      <c r="T88" s="1" t="str">
        <f t="shared" si="9"/>
        <v/>
      </c>
      <c r="U88" s="1" t="str">
        <f t="shared" si="9"/>
        <v/>
      </c>
      <c r="V88" s="1" t="str">
        <f t="shared" si="9"/>
        <v/>
      </c>
      <c r="W88" s="1"/>
      <c r="X88" s="1"/>
      <c r="Y88" s="1"/>
      <c r="Z88" s="1"/>
    </row>
    <row r="89">
      <c r="A89" s="1"/>
      <c r="B89" s="1"/>
      <c r="C89" s="1"/>
      <c r="D89" s="1"/>
      <c r="E89" s="1"/>
      <c r="F89" s="8"/>
      <c r="G89" s="1"/>
      <c r="H89" s="8"/>
      <c r="I89" s="1"/>
      <c r="J89" s="1"/>
      <c r="K89" s="1"/>
      <c r="L89" s="1"/>
      <c r="M89" s="1"/>
      <c r="N89" s="1"/>
      <c r="O89" s="1"/>
      <c r="P89" s="1"/>
      <c r="Q89" s="1"/>
      <c r="R89" s="1"/>
      <c r="S89" s="1" t="str">
        <f t="shared" ref="S89:V89" si="10">PROPER(H89)</f>
        <v/>
      </c>
      <c r="T89" s="1" t="str">
        <f t="shared" si="10"/>
        <v/>
      </c>
      <c r="U89" s="1" t="str">
        <f t="shared" si="10"/>
        <v/>
      </c>
      <c r="V89" s="1" t="str">
        <f t="shared" si="10"/>
        <v/>
      </c>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s>
  <drawing r:id="rId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s>
  <sheetData>
    <row r="1">
      <c r="A1" s="9" t="str">
        <f>IFERROR(__xludf.DUMMYFUNCTION("ARRAY_CONSTRAIN(ARRAYFORMULA( UNIQUE(TOCOL(programInformation!H2:P111))), 101, 1)"),"Engineering competence")</f>
        <v>Engineering competence</v>
      </c>
      <c r="B1" s="9"/>
      <c r="C1" s="9"/>
      <c r="D1" s="9"/>
      <c r="E1" s="9"/>
      <c r="F1" s="9"/>
      <c r="G1" s="9"/>
      <c r="H1" s="9"/>
      <c r="I1" s="9"/>
      <c r="J1" s="9"/>
      <c r="K1" s="9"/>
      <c r="L1" s="9"/>
      <c r="M1" s="9"/>
      <c r="N1" s="9"/>
      <c r="O1" s="9"/>
      <c r="P1" s="9"/>
      <c r="Q1" s="9"/>
      <c r="R1" s="9"/>
      <c r="S1" s="9"/>
      <c r="T1" s="9"/>
      <c r="U1" s="9"/>
      <c r="V1" s="9"/>
      <c r="W1" s="9"/>
      <c r="X1" s="9"/>
      <c r="Y1" s="9"/>
      <c r="Z1" s="9"/>
    </row>
    <row r="2">
      <c r="A2" s="9" t="str">
        <f>IFERROR(__xludf.DUMMYFUNCTION("""COMPUTED_VALUE"""),"Electronics ")</f>
        <v>Electronics </v>
      </c>
      <c r="B2" s="9"/>
      <c r="C2" s="9"/>
      <c r="D2" s="9"/>
      <c r="E2" s="9"/>
      <c r="F2" s="9"/>
      <c r="G2" s="9"/>
      <c r="H2" s="9"/>
      <c r="I2" s="9"/>
      <c r="J2" s="9"/>
      <c r="K2" s="9"/>
      <c r="L2" s="9"/>
      <c r="M2" s="9"/>
      <c r="N2" s="9"/>
      <c r="O2" s="9"/>
      <c r="P2" s="9"/>
      <c r="Q2" s="9"/>
      <c r="R2" s="9"/>
      <c r="S2" s="9"/>
      <c r="T2" s="9"/>
      <c r="U2" s="9"/>
      <c r="V2" s="9"/>
      <c r="W2" s="9"/>
      <c r="X2" s="9"/>
      <c r="Y2" s="9"/>
      <c r="Z2" s="9"/>
    </row>
    <row r="3">
      <c r="A3" s="9" t="str">
        <f>IFERROR(__xludf.DUMMYFUNCTION("""COMPUTED_VALUE"""),"Power engineering ")</f>
        <v>Power engineering </v>
      </c>
      <c r="B3" s="9"/>
      <c r="C3" s="9"/>
      <c r="D3" s="9"/>
      <c r="E3" s="9"/>
      <c r="F3" s="9"/>
      <c r="G3" s="9"/>
      <c r="H3" s="9"/>
      <c r="I3" s="9"/>
      <c r="J3" s="9"/>
      <c r="K3" s="9"/>
      <c r="L3" s="9"/>
      <c r="M3" s="9"/>
      <c r="N3" s="9"/>
      <c r="O3" s="9"/>
      <c r="P3" s="9"/>
      <c r="Q3" s="9"/>
      <c r="R3" s="9"/>
      <c r="S3" s="9"/>
      <c r="T3" s="9"/>
      <c r="U3" s="9"/>
      <c r="V3" s="9"/>
      <c r="W3" s="9"/>
      <c r="X3" s="9"/>
      <c r="Y3" s="9"/>
      <c r="Z3" s="9"/>
    </row>
    <row r="4">
      <c r="A4" s="9" t="str">
        <f>IFERROR(__xludf.DUMMYFUNCTION("""COMPUTED_VALUE"""),"Circuit Analysis")</f>
        <v>Circuit Analysis</v>
      </c>
      <c r="B4" s="9"/>
      <c r="C4" s="9"/>
      <c r="D4" s="9"/>
      <c r="E4" s="9"/>
      <c r="F4" s="9"/>
      <c r="G4" s="9"/>
      <c r="H4" s="9"/>
      <c r="I4" s="9"/>
      <c r="J4" s="9"/>
      <c r="K4" s="9"/>
      <c r="L4" s="9"/>
      <c r="M4" s="9"/>
      <c r="N4" s="9"/>
      <c r="O4" s="9"/>
      <c r="P4" s="9"/>
      <c r="Q4" s="9"/>
      <c r="R4" s="9"/>
      <c r="S4" s="9"/>
      <c r="T4" s="9"/>
      <c r="U4" s="9"/>
      <c r="V4" s="9"/>
      <c r="W4" s="9"/>
      <c r="X4" s="9"/>
      <c r="Y4" s="9"/>
      <c r="Z4" s="9"/>
    </row>
    <row r="5">
      <c r="A5" s="9" t="str">
        <f>IFERROR(__xludf.DUMMYFUNCTION("""COMPUTED_VALUE"""),"Electrical engineering")</f>
        <v>Electrical engineering</v>
      </c>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t="str">
        <f>IFERROR(__xludf.DUMMYFUNCTION("""COMPUTED_VALUE"""),"")</f>
        <v/>
      </c>
      <c r="B7" s="9"/>
      <c r="C7" s="9"/>
      <c r="D7" s="9"/>
      <c r="E7" s="9"/>
      <c r="F7" s="9"/>
      <c r="G7" s="9"/>
      <c r="H7" s="9"/>
      <c r="I7" s="9"/>
      <c r="J7" s="9"/>
      <c r="K7" s="9"/>
      <c r="L7" s="9"/>
      <c r="M7" s="9"/>
      <c r="N7" s="9"/>
      <c r="O7" s="9"/>
      <c r="P7" s="9"/>
      <c r="Q7" s="9"/>
      <c r="R7" s="9"/>
      <c r="S7" s="9"/>
      <c r="T7" s="9"/>
      <c r="U7" s="9"/>
      <c r="V7" s="9"/>
      <c r="W7" s="9"/>
      <c r="X7" s="9"/>
      <c r="Y7" s="9"/>
      <c r="Z7" s="9"/>
    </row>
    <row r="8">
      <c r="A8" s="9" t="str">
        <f>IFERROR(__xludf.DUMMYFUNCTION("""COMPUTED_VALUE"""),"Energy engineering")</f>
        <v>Energy engineering</v>
      </c>
      <c r="B8" s="9"/>
      <c r="C8" s="9"/>
      <c r="D8" s="9"/>
      <c r="E8" s="9"/>
      <c r="F8" s="9"/>
      <c r="G8" s="9"/>
      <c r="H8" s="9"/>
      <c r="I8" s="9"/>
      <c r="J8" s="9"/>
      <c r="K8" s="9"/>
      <c r="L8" s="9"/>
      <c r="M8" s="9"/>
      <c r="N8" s="9"/>
      <c r="O8" s="9"/>
      <c r="P8" s="9"/>
      <c r="Q8" s="9"/>
      <c r="R8" s="9"/>
      <c r="S8" s="9"/>
      <c r="T8" s="9"/>
      <c r="U8" s="9"/>
      <c r="V8" s="9"/>
      <c r="W8" s="9"/>
      <c r="X8" s="9"/>
      <c r="Y8" s="9"/>
      <c r="Z8" s="9"/>
    </row>
    <row r="9">
      <c r="A9" s="9" t="str">
        <f>IFERROR(__xludf.DUMMYFUNCTION("""COMPUTED_VALUE"""),"Sustainable development")</f>
        <v>Sustainable development</v>
      </c>
      <c r="B9" s="9"/>
      <c r="C9" s="9"/>
      <c r="D9" s="9"/>
      <c r="E9" s="9"/>
      <c r="F9" s="9"/>
      <c r="G9" s="9"/>
      <c r="H9" s="9"/>
      <c r="I9" s="9"/>
      <c r="J9" s="9"/>
      <c r="K9" s="9"/>
      <c r="L9" s="9"/>
      <c r="M9" s="9"/>
      <c r="N9" s="9"/>
      <c r="O9" s="9"/>
      <c r="P9" s="9"/>
      <c r="Q9" s="9"/>
      <c r="R9" s="9"/>
      <c r="S9" s="9"/>
      <c r="T9" s="9"/>
      <c r="U9" s="9"/>
      <c r="V9" s="9"/>
      <c r="W9" s="9"/>
      <c r="X9" s="9"/>
      <c r="Y9" s="9"/>
      <c r="Z9" s="9"/>
    </row>
    <row r="10">
      <c r="A10" s="9" t="str">
        <f>IFERROR(__xludf.DUMMYFUNCTION("""COMPUTED_VALUE"""),"Applied physics Modeling")</f>
        <v>Applied physics Modeling</v>
      </c>
      <c r="B10" s="9"/>
      <c r="C10" s="9"/>
      <c r="D10" s="9"/>
      <c r="E10" s="9"/>
      <c r="F10" s="9"/>
      <c r="G10" s="9"/>
      <c r="H10" s="9"/>
      <c r="I10" s="9"/>
      <c r="J10" s="9"/>
      <c r="K10" s="9"/>
      <c r="L10" s="9"/>
      <c r="M10" s="9"/>
      <c r="N10" s="9"/>
      <c r="O10" s="9"/>
      <c r="P10" s="9"/>
      <c r="Q10" s="9"/>
      <c r="R10" s="9"/>
      <c r="S10" s="9"/>
      <c r="T10" s="9"/>
      <c r="U10" s="9"/>
      <c r="V10" s="9"/>
      <c r="W10" s="9"/>
      <c r="X10" s="9"/>
      <c r="Y10" s="9"/>
      <c r="Z10" s="9"/>
    </row>
    <row r="11">
      <c r="A11" s="9" t="str">
        <f>IFERROR(__xludf.DUMMYFUNCTION("""COMPUTED_VALUE"""),"Industrial economics")</f>
        <v>Industrial economics</v>
      </c>
      <c r="B11" s="9"/>
      <c r="C11" s="9"/>
      <c r="D11" s="9"/>
      <c r="E11" s="9"/>
      <c r="F11" s="9"/>
      <c r="G11" s="9"/>
      <c r="H11" s="9"/>
      <c r="I11" s="9"/>
      <c r="J11" s="9"/>
      <c r="K11" s="9"/>
      <c r="L11" s="9"/>
      <c r="M11" s="9"/>
      <c r="N11" s="9"/>
      <c r="O11" s="9"/>
      <c r="P11" s="9"/>
      <c r="Q11" s="9"/>
      <c r="R11" s="9"/>
      <c r="S11" s="9"/>
      <c r="T11" s="9"/>
      <c r="U11" s="9"/>
      <c r="V11" s="9"/>
      <c r="W11" s="9"/>
      <c r="X11" s="9"/>
      <c r="Y11" s="9"/>
      <c r="Z11" s="9"/>
    </row>
    <row r="12">
      <c r="A12" s="9" t="str">
        <f>IFERROR(__xludf.DUMMYFUNCTION("""COMPUTED_VALUE"""),"Industrial technology")</f>
        <v>Industrial technology</v>
      </c>
      <c r="B12" s="9"/>
      <c r="C12" s="9"/>
      <c r="D12" s="9"/>
      <c r="E12" s="9"/>
      <c r="F12" s="9"/>
      <c r="G12" s="9"/>
      <c r="H12" s="9"/>
      <c r="I12" s="9"/>
      <c r="J12" s="9"/>
      <c r="K12" s="9"/>
      <c r="L12" s="9"/>
      <c r="M12" s="9"/>
      <c r="N12" s="9"/>
      <c r="O12" s="9"/>
      <c r="P12" s="9"/>
      <c r="Q12" s="9"/>
      <c r="R12" s="9"/>
      <c r="S12" s="9"/>
      <c r="T12" s="9"/>
      <c r="U12" s="9"/>
      <c r="V12" s="9"/>
      <c r="W12" s="9"/>
      <c r="X12" s="9"/>
      <c r="Y12" s="9"/>
      <c r="Z12" s="9"/>
    </row>
    <row r="13">
      <c r="A13" s="9" t="str">
        <f>IFERROR(__xludf.DUMMYFUNCTION("""COMPUTED_VALUE"""),"Data analysis")</f>
        <v>Data analysis</v>
      </c>
      <c r="B13" s="9"/>
      <c r="C13" s="9"/>
      <c r="D13" s="9"/>
      <c r="E13" s="9"/>
      <c r="F13" s="9"/>
      <c r="G13" s="9"/>
      <c r="H13" s="9"/>
      <c r="I13" s="9"/>
      <c r="J13" s="9"/>
      <c r="K13" s="9"/>
      <c r="L13" s="9"/>
      <c r="M13" s="9"/>
      <c r="N13" s="9"/>
      <c r="O13" s="9"/>
      <c r="P13" s="9"/>
      <c r="Q13" s="9"/>
      <c r="R13" s="9"/>
      <c r="S13" s="9"/>
      <c r="T13" s="9"/>
      <c r="U13" s="9"/>
      <c r="V13" s="9"/>
      <c r="W13" s="9"/>
      <c r="X13" s="9"/>
      <c r="Y13" s="9"/>
      <c r="Z13" s="9"/>
    </row>
    <row r="14">
      <c r="A14" s="9" t="str">
        <f>IFERROR(__xludf.DUMMYFUNCTION("""COMPUTED_VALUE"""),"Embedded systems")</f>
        <v>Embedded systems</v>
      </c>
      <c r="B14" s="9"/>
      <c r="C14" s="9"/>
      <c r="D14" s="9"/>
      <c r="E14" s="9"/>
      <c r="F14" s="9"/>
      <c r="G14" s="9"/>
      <c r="H14" s="9"/>
      <c r="I14" s="9"/>
      <c r="J14" s="9"/>
      <c r="K14" s="9"/>
      <c r="L14" s="9"/>
      <c r="M14" s="9"/>
      <c r="N14" s="9"/>
      <c r="O14" s="9"/>
      <c r="P14" s="9"/>
      <c r="Q14" s="9"/>
      <c r="R14" s="9"/>
      <c r="S14" s="9"/>
      <c r="T14" s="9"/>
      <c r="U14" s="9"/>
      <c r="V14" s="9"/>
      <c r="W14" s="9"/>
      <c r="X14" s="9"/>
      <c r="Y14" s="9"/>
      <c r="Z14" s="9"/>
    </row>
    <row r="15">
      <c r="A15" s="9" t="str">
        <f>IFERROR(__xludf.DUMMYFUNCTION("""COMPUTED_VALUE"""),"Machine learning")</f>
        <v>Machine learning</v>
      </c>
      <c r="B15" s="9"/>
      <c r="C15" s="9"/>
      <c r="D15" s="9"/>
      <c r="E15" s="9"/>
      <c r="F15" s="9"/>
      <c r="G15" s="9"/>
      <c r="H15" s="9"/>
      <c r="I15" s="9"/>
      <c r="J15" s="9"/>
      <c r="K15" s="9"/>
      <c r="L15" s="9"/>
      <c r="M15" s="9"/>
      <c r="N15" s="9"/>
      <c r="O15" s="9"/>
      <c r="P15" s="9"/>
      <c r="Q15" s="9"/>
      <c r="R15" s="9"/>
      <c r="S15" s="9"/>
      <c r="T15" s="9"/>
      <c r="U15" s="9"/>
      <c r="V15" s="9"/>
      <c r="W15" s="9"/>
      <c r="X15" s="9"/>
      <c r="Y15" s="9"/>
      <c r="Z15" s="9"/>
    </row>
    <row r="16">
      <c r="A16" s="9" t="str">
        <f>IFERROR(__xludf.DUMMYFUNCTION("""COMPUTED_VALUE"""),"Programming")</f>
        <v>Programming</v>
      </c>
      <c r="B16" s="9"/>
      <c r="C16" s="9"/>
      <c r="D16" s="9"/>
      <c r="E16" s="9"/>
      <c r="F16" s="9"/>
      <c r="G16" s="9"/>
      <c r="H16" s="9"/>
      <c r="I16" s="9"/>
      <c r="J16" s="9"/>
      <c r="K16" s="9"/>
      <c r="L16" s="9"/>
      <c r="M16" s="9"/>
      <c r="N16" s="9"/>
      <c r="O16" s="9"/>
      <c r="P16" s="9"/>
      <c r="Q16" s="9"/>
      <c r="R16" s="9"/>
      <c r="S16" s="9"/>
      <c r="T16" s="9"/>
      <c r="U16" s="9"/>
      <c r="V16" s="9"/>
      <c r="W16" s="9"/>
      <c r="X16" s="9"/>
      <c r="Y16" s="9"/>
      <c r="Z16" s="9"/>
    </row>
    <row r="17">
      <c r="A17" s="9" t="str">
        <f>IFERROR(__xludf.DUMMYFUNCTION("""COMPUTED_VALUE"""),"System development")</f>
        <v>System development</v>
      </c>
      <c r="B17" s="9"/>
      <c r="C17" s="9"/>
      <c r="D17" s="9"/>
      <c r="E17" s="9"/>
      <c r="F17" s="9"/>
      <c r="G17" s="9"/>
      <c r="H17" s="9"/>
      <c r="I17" s="9"/>
      <c r="J17" s="9"/>
      <c r="K17" s="9"/>
      <c r="L17" s="9"/>
      <c r="M17" s="9"/>
      <c r="N17" s="9"/>
      <c r="O17" s="9"/>
      <c r="P17" s="9"/>
      <c r="Q17" s="9"/>
      <c r="R17" s="9"/>
      <c r="S17" s="9"/>
      <c r="T17" s="9"/>
      <c r="U17" s="9"/>
      <c r="V17" s="9"/>
      <c r="W17" s="9"/>
      <c r="X17" s="9"/>
      <c r="Y17" s="9"/>
      <c r="Z17" s="9"/>
    </row>
    <row r="18">
      <c r="A18" s="9" t="str">
        <f>IFERROR(__xludf.DUMMYFUNCTION("""COMPUTED_VALUE"""),"Technical chemistry")</f>
        <v>Technical chemistry</v>
      </c>
      <c r="B18" s="9"/>
      <c r="C18" s="9"/>
      <c r="D18" s="9"/>
      <c r="E18" s="9"/>
      <c r="F18" s="9"/>
      <c r="G18" s="9"/>
      <c r="H18" s="9"/>
      <c r="I18" s="9"/>
      <c r="J18" s="9"/>
      <c r="K18" s="9"/>
      <c r="L18" s="9"/>
      <c r="M18" s="9"/>
      <c r="N18" s="9"/>
      <c r="O18" s="9"/>
      <c r="P18" s="9"/>
      <c r="Q18" s="9"/>
      <c r="R18" s="9"/>
      <c r="S18" s="9"/>
      <c r="T18" s="9"/>
      <c r="U18" s="9"/>
      <c r="V18" s="9"/>
      <c r="W18" s="9"/>
      <c r="X18" s="9"/>
      <c r="Y18" s="9"/>
      <c r="Z18" s="9"/>
    </row>
    <row r="19">
      <c r="A19" s="9" t="str">
        <f>IFERROR(__xludf.DUMMYFUNCTION("""COMPUTED_VALUE"""),"Pharmaceutical development")</f>
        <v>Pharmaceutical development</v>
      </c>
      <c r="B19" s="9"/>
      <c r="C19" s="9"/>
      <c r="D19" s="9"/>
      <c r="E19" s="9"/>
      <c r="F19" s="9"/>
      <c r="G19" s="9"/>
      <c r="H19" s="9"/>
      <c r="I19" s="9"/>
      <c r="J19" s="9"/>
      <c r="K19" s="9"/>
      <c r="L19" s="9"/>
      <c r="M19" s="9"/>
      <c r="N19" s="9"/>
      <c r="O19" s="9"/>
      <c r="P19" s="9"/>
      <c r="Q19" s="9"/>
      <c r="R19" s="9"/>
      <c r="S19" s="9"/>
      <c r="T19" s="9"/>
      <c r="U19" s="9"/>
      <c r="V19" s="9"/>
      <c r="W19" s="9"/>
      <c r="X19" s="9"/>
      <c r="Y19" s="9"/>
      <c r="Z19" s="9"/>
    </row>
    <row r="20">
      <c r="A20" s="9" t="str">
        <f>IFERROR(__xludf.DUMMYFUNCTION("""COMPUTED_VALUE"""),"Pharmaceutical manufacturing")</f>
        <v>Pharmaceutical manufacturing</v>
      </c>
      <c r="B20" s="9"/>
      <c r="C20" s="9"/>
      <c r="D20" s="9"/>
      <c r="E20" s="9"/>
      <c r="F20" s="9"/>
      <c r="G20" s="9"/>
      <c r="H20" s="9"/>
      <c r="I20" s="9"/>
      <c r="J20" s="9"/>
      <c r="K20" s="9"/>
      <c r="L20" s="9"/>
      <c r="M20" s="9"/>
      <c r="N20" s="9"/>
      <c r="O20" s="9"/>
      <c r="P20" s="9"/>
      <c r="Q20" s="9"/>
      <c r="R20" s="9"/>
      <c r="S20" s="9"/>
      <c r="T20" s="9"/>
      <c r="U20" s="9"/>
      <c r="V20" s="9"/>
      <c r="W20" s="9"/>
      <c r="X20" s="9"/>
      <c r="Y20" s="9"/>
      <c r="Z20" s="9"/>
    </row>
    <row r="21">
      <c r="A21" s="9" t="str">
        <f>IFERROR(__xludf.DUMMYFUNCTION("""COMPUTED_VALUE"""),"Pharmaceutical analysis")</f>
        <v>Pharmaceutical analysis</v>
      </c>
      <c r="B21" s="9"/>
      <c r="C21" s="9"/>
      <c r="D21" s="9"/>
      <c r="E21" s="9"/>
      <c r="F21" s="9"/>
      <c r="G21" s="9"/>
      <c r="H21" s="9"/>
      <c r="I21" s="9"/>
      <c r="J21" s="9"/>
      <c r="K21" s="9"/>
      <c r="L21" s="9"/>
      <c r="M21" s="9"/>
      <c r="N21" s="9"/>
      <c r="O21" s="9"/>
      <c r="P21" s="9"/>
      <c r="Q21" s="9"/>
      <c r="R21" s="9"/>
      <c r="S21" s="9"/>
      <c r="T21" s="9"/>
      <c r="U21" s="9"/>
      <c r="V21" s="9"/>
      <c r="W21" s="9"/>
      <c r="X21" s="9"/>
      <c r="Y21" s="9"/>
      <c r="Z21" s="9"/>
    </row>
    <row r="22">
      <c r="A22" s="9" t="str">
        <f>IFERROR(__xludf.DUMMYFUNCTION("""COMPUTED_VALUE"""),"Materials science")</f>
        <v>Materials science</v>
      </c>
      <c r="B22" s="9"/>
      <c r="C22" s="9"/>
      <c r="D22" s="9"/>
      <c r="E22" s="9"/>
      <c r="F22" s="9"/>
      <c r="G22" s="9"/>
      <c r="H22" s="9"/>
      <c r="I22" s="9"/>
      <c r="J22" s="9"/>
      <c r="K22" s="9"/>
      <c r="L22" s="9"/>
      <c r="M22" s="9"/>
      <c r="N22" s="9"/>
      <c r="O22" s="9"/>
      <c r="P22" s="9"/>
      <c r="Q22" s="9"/>
      <c r="R22" s="9"/>
      <c r="S22" s="9"/>
      <c r="T22" s="9"/>
      <c r="U22" s="9"/>
      <c r="V22" s="9"/>
      <c r="W22" s="9"/>
      <c r="X22" s="9"/>
      <c r="Y22" s="9"/>
      <c r="Z22" s="9"/>
    </row>
    <row r="23">
      <c r="A23" s="9" t="str">
        <f>IFERROR(__xludf.DUMMYFUNCTION("""COMPUTED_VALUE"""),"Process engineering")</f>
        <v>Process engineering</v>
      </c>
      <c r="B23" s="9"/>
      <c r="C23" s="9"/>
      <c r="D23" s="9"/>
      <c r="E23" s="9"/>
      <c r="F23" s="9"/>
      <c r="G23" s="9"/>
      <c r="H23" s="9"/>
      <c r="I23" s="9"/>
      <c r="J23" s="9"/>
      <c r="K23" s="9"/>
      <c r="L23" s="9"/>
      <c r="M23" s="9"/>
      <c r="N23" s="9"/>
      <c r="O23" s="9"/>
      <c r="P23" s="9"/>
      <c r="Q23" s="9"/>
      <c r="R23" s="9"/>
      <c r="S23" s="9"/>
      <c r="T23" s="9"/>
      <c r="U23" s="9"/>
      <c r="V23" s="9"/>
      <c r="W23" s="9"/>
      <c r="X23" s="9"/>
      <c r="Y23" s="9"/>
      <c r="Z23" s="9"/>
    </row>
    <row r="24">
      <c r="A24" s="9" t="str">
        <f>IFERROR(__xludf.DUMMYFUNCTION("""COMPUTED_VALUE"""),"Community planning")</f>
        <v>Community planning</v>
      </c>
      <c r="B24" s="9"/>
      <c r="C24" s="9"/>
      <c r="D24" s="9"/>
      <c r="E24" s="9"/>
      <c r="F24" s="9"/>
      <c r="G24" s="9"/>
      <c r="H24" s="9"/>
      <c r="I24" s="9"/>
      <c r="J24" s="9"/>
      <c r="K24" s="9"/>
      <c r="L24" s="9"/>
      <c r="M24" s="9"/>
      <c r="N24" s="9"/>
      <c r="O24" s="9"/>
      <c r="P24" s="9"/>
      <c r="Q24" s="9"/>
      <c r="R24" s="9"/>
      <c r="S24" s="9"/>
      <c r="T24" s="9"/>
      <c r="U24" s="9"/>
      <c r="V24" s="9"/>
      <c r="W24" s="9"/>
      <c r="X24" s="9"/>
      <c r="Y24" s="9"/>
      <c r="Z24" s="9"/>
    </row>
    <row r="25">
      <c r="A25" s="9" t="str">
        <f>IFERROR(__xludf.DUMMYFUNCTION("""COMPUTED_VALUE"""),"Geoscience")</f>
        <v>Geoscience</v>
      </c>
      <c r="B25" s="9"/>
      <c r="C25" s="9"/>
      <c r="D25" s="9"/>
      <c r="E25" s="9"/>
      <c r="F25" s="9"/>
      <c r="G25" s="9"/>
      <c r="H25" s="9"/>
      <c r="I25" s="9"/>
      <c r="J25" s="9"/>
      <c r="K25" s="9"/>
      <c r="L25" s="9"/>
      <c r="M25" s="9"/>
      <c r="N25" s="9"/>
      <c r="O25" s="9"/>
      <c r="P25" s="9"/>
      <c r="Q25" s="9"/>
      <c r="R25" s="9"/>
      <c r="S25" s="9"/>
      <c r="T25" s="9"/>
      <c r="U25" s="9"/>
      <c r="V25" s="9"/>
      <c r="W25" s="9"/>
      <c r="X25" s="9"/>
      <c r="Y25" s="9"/>
      <c r="Z25" s="9"/>
    </row>
    <row r="26">
      <c r="A26" s="9" t="str">
        <f>IFERROR(__xludf.DUMMYFUNCTION("""COMPUTED_VALUE"""),"Water resources")</f>
        <v>Water resources</v>
      </c>
      <c r="B26" s="9"/>
      <c r="C26" s="9"/>
      <c r="D26" s="9"/>
      <c r="E26" s="9"/>
      <c r="F26" s="9"/>
      <c r="G26" s="9"/>
      <c r="H26" s="9"/>
      <c r="I26" s="9"/>
      <c r="J26" s="9"/>
      <c r="K26" s="9"/>
      <c r="L26" s="9"/>
      <c r="M26" s="9"/>
      <c r="N26" s="9"/>
      <c r="O26" s="9"/>
      <c r="P26" s="9"/>
      <c r="Q26" s="9"/>
      <c r="R26" s="9"/>
      <c r="S26" s="9"/>
      <c r="T26" s="9"/>
      <c r="U26" s="9"/>
      <c r="V26" s="9"/>
      <c r="W26" s="9"/>
      <c r="X26" s="9"/>
      <c r="Y26" s="9"/>
      <c r="Z26" s="9"/>
    </row>
    <row r="27">
      <c r="A27" s="9" t="str">
        <f>IFERROR(__xludf.DUMMYFUNCTION("""COMPUTED_VALUE"""),"Environmental technology")</f>
        <v>Environmental technology</v>
      </c>
      <c r="B27" s="9"/>
      <c r="C27" s="9"/>
      <c r="D27" s="9"/>
      <c r="E27" s="9"/>
      <c r="F27" s="9"/>
      <c r="G27" s="9"/>
      <c r="H27" s="9"/>
      <c r="I27" s="9"/>
      <c r="J27" s="9"/>
      <c r="K27" s="9"/>
      <c r="L27" s="9"/>
      <c r="M27" s="9"/>
      <c r="N27" s="9"/>
      <c r="O27" s="9"/>
      <c r="P27" s="9"/>
      <c r="Q27" s="9"/>
      <c r="R27" s="9"/>
      <c r="S27" s="9"/>
      <c r="T27" s="9"/>
      <c r="U27" s="9"/>
      <c r="V27" s="9"/>
      <c r="W27" s="9"/>
      <c r="X27" s="9"/>
      <c r="Y27" s="9"/>
      <c r="Z27" s="9"/>
    </row>
    <row r="28">
      <c r="A28" s="9" t="str">
        <f>IFERROR(__xludf.DUMMYFUNCTION("""COMPUTED_VALUE"""),"Applied biotechnology")</f>
        <v>Applied biotechnology</v>
      </c>
      <c r="B28" s="9"/>
      <c r="C28" s="9"/>
      <c r="D28" s="9"/>
      <c r="E28" s="9"/>
      <c r="F28" s="9"/>
      <c r="G28" s="9"/>
      <c r="H28" s="9"/>
      <c r="I28" s="9"/>
      <c r="J28" s="9"/>
      <c r="K28" s="9"/>
      <c r="L28" s="9"/>
      <c r="M28" s="9"/>
      <c r="N28" s="9"/>
      <c r="O28" s="9"/>
      <c r="P28" s="9"/>
      <c r="Q28" s="9"/>
      <c r="R28" s="9"/>
      <c r="S28" s="9"/>
      <c r="T28" s="9"/>
      <c r="U28" s="9"/>
      <c r="V28" s="9"/>
      <c r="W28" s="9"/>
      <c r="X28" s="9"/>
      <c r="Y28" s="9"/>
      <c r="Z28" s="9"/>
    </row>
    <row r="29">
      <c r="A29" s="9" t="str">
        <f>IFERROR(__xludf.DUMMYFUNCTION("""COMPUTED_VALUE"""),"Molecular biotechnology")</f>
        <v>Molecular biotechnology</v>
      </c>
      <c r="B29" s="9"/>
      <c r="C29" s="9"/>
      <c r="D29" s="9"/>
      <c r="E29" s="9"/>
      <c r="F29" s="9"/>
      <c r="G29" s="9"/>
      <c r="H29" s="9"/>
      <c r="I29" s="9"/>
      <c r="J29" s="9"/>
      <c r="K29" s="9"/>
      <c r="L29" s="9"/>
      <c r="M29" s="9"/>
      <c r="N29" s="9"/>
      <c r="O29" s="9"/>
      <c r="P29" s="9"/>
      <c r="Q29" s="9"/>
      <c r="R29" s="9"/>
      <c r="S29" s="9"/>
      <c r="T29" s="9"/>
      <c r="U29" s="9"/>
      <c r="V29" s="9"/>
      <c r="W29" s="9"/>
      <c r="X29" s="9"/>
      <c r="Y29" s="9"/>
      <c r="Z29" s="9"/>
    </row>
    <row r="30">
      <c r="A30" s="9" t="str">
        <f>IFERROR(__xludf.DUMMYFUNCTION("""COMPUTED_VALUE"""),"Economics")</f>
        <v>Economics</v>
      </c>
      <c r="B30" s="9"/>
      <c r="C30" s="9"/>
      <c r="D30" s="9"/>
      <c r="E30" s="9"/>
      <c r="F30" s="9"/>
      <c r="G30" s="9"/>
      <c r="H30" s="9"/>
      <c r="I30" s="9"/>
      <c r="J30" s="9"/>
      <c r="K30" s="9"/>
      <c r="L30" s="9"/>
      <c r="M30" s="9"/>
      <c r="N30" s="9"/>
      <c r="O30" s="9"/>
      <c r="P30" s="9"/>
      <c r="Q30" s="9"/>
      <c r="R30" s="9"/>
      <c r="S30" s="9"/>
      <c r="T30" s="9"/>
      <c r="U30" s="9"/>
      <c r="V30" s="9"/>
      <c r="W30" s="9"/>
      <c r="X30" s="9"/>
      <c r="Y30" s="9"/>
      <c r="Z30" s="9"/>
    </row>
    <row r="31">
      <c r="A31" s="9" t="str">
        <f>IFERROR(__xludf.DUMMYFUNCTION("""COMPUTED_VALUE"""),"Social science")</f>
        <v>Social science</v>
      </c>
      <c r="B31" s="9"/>
      <c r="C31" s="9"/>
      <c r="D31" s="9"/>
      <c r="E31" s="9"/>
      <c r="F31" s="9"/>
      <c r="G31" s="9"/>
      <c r="H31" s="9"/>
      <c r="I31" s="9"/>
      <c r="J31" s="9"/>
      <c r="K31" s="9"/>
      <c r="L31" s="9"/>
      <c r="M31" s="9"/>
      <c r="N31" s="9"/>
      <c r="O31" s="9"/>
      <c r="P31" s="9"/>
      <c r="Q31" s="9"/>
      <c r="R31" s="9"/>
      <c r="S31" s="9"/>
      <c r="T31" s="9"/>
      <c r="U31" s="9"/>
      <c r="V31" s="9"/>
      <c r="W31" s="9"/>
      <c r="X31" s="9"/>
      <c r="Y31" s="9"/>
      <c r="Z31" s="9"/>
    </row>
    <row r="32">
      <c r="A32" s="9" t="str">
        <f>IFERROR(__xludf.DUMMYFUNCTION("""COMPUTED_VALUE"""),"Humanities")</f>
        <v>Humanities</v>
      </c>
      <c r="B32" s="9"/>
      <c r="C32" s="9"/>
      <c r="D32" s="9"/>
      <c r="E32" s="9"/>
      <c r="F32" s="9"/>
      <c r="G32" s="9"/>
      <c r="H32" s="9"/>
      <c r="I32" s="9"/>
      <c r="J32" s="9"/>
      <c r="K32" s="9"/>
      <c r="L32" s="9"/>
      <c r="M32" s="9"/>
      <c r="N32" s="9"/>
      <c r="O32" s="9"/>
      <c r="P32" s="9"/>
      <c r="Q32" s="9"/>
      <c r="R32" s="9"/>
      <c r="S32" s="9"/>
      <c r="T32" s="9"/>
      <c r="U32" s="9"/>
      <c r="V32" s="9"/>
      <c r="W32" s="9"/>
      <c r="X32" s="9"/>
      <c r="Y32" s="9"/>
      <c r="Z32" s="9"/>
    </row>
    <row r="33">
      <c r="A33" s="9" t="str">
        <f>IFERROR(__xludf.DUMMYFUNCTION("""COMPUTED_VALUE"""),"Applied physics")</f>
        <v>Applied physics</v>
      </c>
      <c r="B33" s="9"/>
      <c r="C33" s="9"/>
      <c r="D33" s="9"/>
      <c r="E33" s="9"/>
      <c r="F33" s="9"/>
      <c r="G33" s="9"/>
      <c r="H33" s="9"/>
      <c r="I33" s="9"/>
      <c r="J33" s="9"/>
      <c r="K33" s="9"/>
      <c r="L33" s="9"/>
      <c r="M33" s="9"/>
      <c r="N33" s="9"/>
      <c r="O33" s="9"/>
      <c r="P33" s="9"/>
      <c r="Q33" s="9"/>
      <c r="R33" s="9"/>
      <c r="S33" s="9"/>
      <c r="T33" s="9"/>
      <c r="U33" s="9"/>
      <c r="V33" s="9"/>
      <c r="W33" s="9"/>
      <c r="X33" s="9"/>
      <c r="Y33" s="9"/>
      <c r="Z33" s="9"/>
    </row>
    <row r="34">
      <c r="A34" s="9" t="str">
        <f>IFERROR(__xludf.DUMMYFUNCTION("""COMPUTED_VALUE"""),"Physics")</f>
        <v>Physics</v>
      </c>
      <c r="B34" s="9"/>
      <c r="C34" s="9"/>
      <c r="D34" s="9"/>
      <c r="E34" s="9"/>
      <c r="F34" s="9"/>
      <c r="G34" s="9"/>
      <c r="H34" s="9"/>
      <c r="I34" s="9"/>
      <c r="J34" s="9"/>
      <c r="K34" s="9"/>
      <c r="L34" s="9"/>
      <c r="M34" s="9"/>
      <c r="N34" s="9"/>
      <c r="O34" s="9"/>
      <c r="P34" s="9"/>
      <c r="Q34" s="9"/>
      <c r="R34" s="9"/>
      <c r="S34" s="9"/>
      <c r="T34" s="9"/>
      <c r="U34" s="9"/>
      <c r="V34" s="9"/>
      <c r="W34" s="9"/>
      <c r="X34" s="9"/>
      <c r="Y34" s="9"/>
      <c r="Z34" s="9"/>
    </row>
    <row r="35">
      <c r="A35" s="9" t="str">
        <f>IFERROR(__xludf.DUMMYFUNCTION("""COMPUTED_VALUE"""),"Microtechnology")</f>
        <v>Microtechnology</v>
      </c>
      <c r="B35" s="9"/>
      <c r="C35" s="9"/>
      <c r="D35" s="9"/>
      <c r="E35" s="9"/>
      <c r="F35" s="9"/>
      <c r="G35" s="9"/>
      <c r="H35" s="9"/>
      <c r="I35" s="9"/>
      <c r="J35" s="9"/>
      <c r="K35" s="9"/>
      <c r="L35" s="9"/>
      <c r="M35" s="9"/>
      <c r="N35" s="9"/>
      <c r="O35" s="9"/>
      <c r="P35" s="9"/>
      <c r="Q35" s="9"/>
      <c r="R35" s="9"/>
      <c r="S35" s="9"/>
      <c r="T35" s="9"/>
      <c r="U35" s="9"/>
      <c r="V35" s="9"/>
      <c r="W35" s="9"/>
      <c r="X35" s="9"/>
      <c r="Y35" s="9"/>
      <c r="Z35" s="9"/>
    </row>
    <row r="36">
      <c r="A36" s="9" t="str">
        <f>IFERROR(__xludf.DUMMYFUNCTION("""COMPUTED_VALUE"""),"Nanotechnology")</f>
        <v>Nanotechnology</v>
      </c>
      <c r="B36" s="9"/>
      <c r="C36" s="9"/>
      <c r="D36" s="9"/>
      <c r="E36" s="9"/>
      <c r="F36" s="9"/>
      <c r="G36" s="9"/>
      <c r="H36" s="9"/>
      <c r="I36" s="9"/>
      <c r="J36" s="9"/>
      <c r="K36" s="9"/>
      <c r="L36" s="9"/>
      <c r="M36" s="9"/>
      <c r="N36" s="9"/>
      <c r="O36" s="9"/>
      <c r="P36" s="9"/>
      <c r="Q36" s="9"/>
      <c r="R36" s="9"/>
      <c r="S36" s="9"/>
      <c r="T36" s="9"/>
      <c r="U36" s="9"/>
      <c r="V36" s="9"/>
      <c r="W36" s="9"/>
      <c r="X36" s="9"/>
      <c r="Y36" s="9"/>
      <c r="Z36" s="9"/>
    </row>
    <row r="37">
      <c r="A37" s="9" t="str">
        <f>IFERROR(__xludf.DUMMYFUNCTION("""COMPUTED_VALUE"""),"Material analysis")</f>
        <v>Material analysis</v>
      </c>
      <c r="B37" s="9"/>
      <c r="C37" s="9"/>
      <c r="D37" s="9"/>
      <c r="E37" s="9"/>
      <c r="F37" s="9"/>
      <c r="G37" s="9"/>
      <c r="H37" s="9"/>
      <c r="I37" s="9"/>
      <c r="J37" s="9"/>
      <c r="K37" s="9"/>
      <c r="L37" s="9"/>
      <c r="M37" s="9"/>
      <c r="N37" s="9"/>
      <c r="O37" s="9"/>
      <c r="P37" s="9"/>
      <c r="Q37" s="9"/>
      <c r="R37" s="9"/>
      <c r="S37" s="9"/>
      <c r="T37" s="9"/>
      <c r="U37" s="9"/>
      <c r="V37" s="9"/>
      <c r="W37" s="9"/>
      <c r="X37" s="9"/>
      <c r="Y37" s="9"/>
      <c r="Z37" s="9"/>
    </row>
    <row r="38">
      <c r="A38" s="9" t="str">
        <f>IFERROR(__xludf.DUMMYFUNCTION("""COMPUTED_VALUE"""),"Construction production")</f>
        <v>Construction production</v>
      </c>
      <c r="B38" s="9"/>
      <c r="C38" s="9"/>
      <c r="D38" s="9"/>
      <c r="E38" s="9"/>
      <c r="F38" s="9"/>
      <c r="G38" s="9"/>
      <c r="H38" s="9"/>
      <c r="I38" s="9"/>
      <c r="J38" s="9"/>
      <c r="K38" s="9"/>
      <c r="L38" s="9"/>
      <c r="M38" s="9"/>
      <c r="N38" s="9"/>
      <c r="O38" s="9"/>
      <c r="P38" s="9"/>
      <c r="Q38" s="9"/>
      <c r="R38" s="9"/>
      <c r="S38" s="9"/>
      <c r="T38" s="9"/>
      <c r="U38" s="9"/>
      <c r="V38" s="9"/>
      <c r="W38" s="9"/>
      <c r="X38" s="9"/>
      <c r="Y38" s="9"/>
      <c r="Z38" s="9"/>
    </row>
    <row r="39">
      <c r="A39" s="9" t="str">
        <f>IFERROR(__xludf.DUMMYFUNCTION("""COMPUTED_VALUE"""),"Cad, Leadership")</f>
        <v>Cad, Leadership</v>
      </c>
      <c r="B39" s="9"/>
      <c r="C39" s="9"/>
      <c r="D39" s="9"/>
      <c r="E39" s="9"/>
      <c r="F39" s="9"/>
      <c r="G39" s="9"/>
      <c r="H39" s="9"/>
      <c r="I39" s="9"/>
      <c r="J39" s="9"/>
      <c r="K39" s="9"/>
      <c r="L39" s="9"/>
      <c r="M39" s="9"/>
      <c r="N39" s="9"/>
      <c r="O39" s="9"/>
      <c r="P39" s="9"/>
      <c r="Q39" s="9"/>
      <c r="R39" s="9"/>
      <c r="S39" s="9"/>
      <c r="T39" s="9"/>
      <c r="U39" s="9"/>
      <c r="V39" s="9"/>
      <c r="W39" s="9"/>
      <c r="X39" s="9"/>
      <c r="Y39" s="9"/>
      <c r="Z39" s="9"/>
    </row>
    <row r="40">
      <c r="A40" s="9" t="str">
        <f>IFERROR(__xludf.DUMMYFUNCTION("""COMPUTED_VALUE"""),"Construction")</f>
        <v>Construction</v>
      </c>
      <c r="B40" s="9"/>
      <c r="C40" s="9"/>
      <c r="D40" s="9"/>
      <c r="E40" s="9"/>
      <c r="F40" s="9"/>
      <c r="G40" s="9"/>
      <c r="H40" s="9"/>
      <c r="I40" s="9"/>
      <c r="J40" s="9"/>
      <c r="K40" s="9"/>
      <c r="L40" s="9"/>
      <c r="M40" s="9"/>
      <c r="N40" s="9"/>
      <c r="O40" s="9"/>
      <c r="P40" s="9"/>
      <c r="Q40" s="9"/>
      <c r="R40" s="9"/>
      <c r="S40" s="9"/>
      <c r="T40" s="9"/>
      <c r="U40" s="9"/>
      <c r="V40" s="9"/>
      <c r="W40" s="9"/>
      <c r="X40" s="9"/>
      <c r="Y40" s="9"/>
      <c r="Z40" s="9"/>
    </row>
    <row r="41">
      <c r="A41" s="9" t="str">
        <f>IFERROR(__xludf.DUMMYFUNCTION("""COMPUTED_VALUE"""),"Management")</f>
        <v>Management</v>
      </c>
      <c r="B41" s="9"/>
      <c r="C41" s="9"/>
      <c r="D41" s="9"/>
      <c r="E41" s="9"/>
      <c r="F41" s="9"/>
      <c r="G41" s="9"/>
      <c r="H41" s="9"/>
      <c r="I41" s="9"/>
      <c r="J41" s="9"/>
      <c r="K41" s="9"/>
      <c r="L41" s="9"/>
      <c r="M41" s="9"/>
      <c r="N41" s="9"/>
      <c r="O41" s="9"/>
      <c r="P41" s="9"/>
      <c r="Q41" s="9"/>
      <c r="R41" s="9"/>
      <c r="S41" s="9"/>
      <c r="T41" s="9"/>
      <c r="U41" s="9"/>
      <c r="V41" s="9"/>
      <c r="W41" s="9"/>
      <c r="X41" s="9"/>
      <c r="Y41" s="9"/>
      <c r="Z41" s="9"/>
    </row>
    <row r="42">
      <c r="A42" s="9" t="str">
        <f>IFERROR(__xludf.DUMMYFUNCTION("""COMPUTED_VALUE"""),"Electronics")</f>
        <v>Electronics</v>
      </c>
      <c r="B42" s="9"/>
      <c r="C42" s="9"/>
      <c r="D42" s="9"/>
      <c r="E42" s="9"/>
      <c r="F42" s="9"/>
      <c r="G42" s="9"/>
      <c r="H42" s="9"/>
      <c r="I42" s="9"/>
      <c r="J42" s="9"/>
      <c r="K42" s="9"/>
      <c r="L42" s="9"/>
      <c r="M42" s="9"/>
      <c r="N42" s="9"/>
      <c r="O42" s="9"/>
      <c r="P42" s="9"/>
      <c r="Q42" s="9"/>
      <c r="R42" s="9"/>
      <c r="S42" s="9"/>
      <c r="T42" s="9"/>
      <c r="U42" s="9"/>
      <c r="V42" s="9"/>
      <c r="W42" s="9"/>
      <c r="X42" s="9"/>
      <c r="Y42" s="9"/>
      <c r="Z42" s="9"/>
    </row>
    <row r="43">
      <c r="A43" s="9" t="str">
        <f>IFERROR(__xludf.DUMMYFUNCTION("""COMPUTED_VALUE"""),"Engineering competence,")</f>
        <v>Engineering competence,</v>
      </c>
      <c r="B43" s="9"/>
      <c r="C43" s="9"/>
      <c r="D43" s="9"/>
      <c r="E43" s="9"/>
      <c r="F43" s="9"/>
      <c r="G43" s="9"/>
      <c r="H43" s="9"/>
      <c r="I43" s="9"/>
      <c r="J43" s="9"/>
      <c r="K43" s="9"/>
      <c r="L43" s="9"/>
      <c r="M43" s="9"/>
      <c r="N43" s="9"/>
      <c r="O43" s="9"/>
      <c r="P43" s="9"/>
      <c r="Q43" s="9"/>
      <c r="R43" s="9"/>
      <c r="S43" s="9"/>
      <c r="T43" s="9"/>
      <c r="U43" s="9"/>
      <c r="V43" s="9"/>
      <c r="W43" s="9"/>
      <c r="X43" s="9"/>
      <c r="Y43" s="9"/>
      <c r="Z43" s="9"/>
    </row>
    <row r="44">
      <c r="A44" s="9" t="str">
        <f>IFERROR(__xludf.DUMMYFUNCTION("""COMPUTED_VALUE"""),"Applied nuclear technology")</f>
        <v>Applied nuclear technology</v>
      </c>
      <c r="B44" s="9"/>
      <c r="C44" s="9"/>
      <c r="D44" s="9"/>
      <c r="E44" s="9"/>
      <c r="F44" s="9"/>
      <c r="G44" s="9"/>
      <c r="H44" s="9"/>
      <c r="I44" s="9"/>
      <c r="J44" s="9"/>
      <c r="K44" s="9"/>
      <c r="L44" s="9"/>
      <c r="M44" s="9"/>
      <c r="N44" s="9"/>
      <c r="O44" s="9"/>
      <c r="P44" s="9"/>
      <c r="Q44" s="9"/>
      <c r="R44" s="9"/>
      <c r="S44" s="9"/>
      <c r="T44" s="9"/>
      <c r="U44" s="9"/>
      <c r="V44" s="9"/>
      <c r="W44" s="9"/>
      <c r="X44" s="9"/>
      <c r="Y44" s="9"/>
      <c r="Z44" s="9"/>
    </row>
    <row r="45">
      <c r="A45" s="9" t="str">
        <f>IFERROR(__xludf.DUMMYFUNCTION("""COMPUTED_VALUE"""),"Product development,")</f>
        <v>Product development,</v>
      </c>
      <c r="B45" s="9"/>
      <c r="C45" s="9"/>
      <c r="D45" s="9"/>
      <c r="E45" s="9"/>
      <c r="F45" s="9"/>
      <c r="G45" s="9"/>
      <c r="H45" s="9"/>
      <c r="I45" s="9"/>
      <c r="J45" s="9"/>
      <c r="K45" s="9"/>
      <c r="L45" s="9"/>
      <c r="M45" s="9"/>
      <c r="N45" s="9"/>
      <c r="O45" s="9"/>
      <c r="P45" s="9"/>
      <c r="Q45" s="9"/>
      <c r="R45" s="9"/>
      <c r="S45" s="9"/>
      <c r="T45" s="9"/>
      <c r="U45" s="9"/>
      <c r="V45" s="9"/>
      <c r="W45" s="9"/>
      <c r="X45" s="9"/>
      <c r="Y45" s="9"/>
      <c r="Z45" s="9"/>
    </row>
    <row r="46">
      <c r="A46" s="9" t="str">
        <f>IFERROR(__xludf.DUMMYFUNCTION("""COMPUTED_VALUE"""),"Production management")</f>
        <v>Production management</v>
      </c>
      <c r="B46" s="9"/>
      <c r="C46" s="9"/>
      <c r="D46" s="9"/>
      <c r="E46" s="9"/>
      <c r="F46" s="9"/>
      <c r="G46" s="9"/>
      <c r="H46" s="9"/>
      <c r="I46" s="9"/>
      <c r="J46" s="9"/>
      <c r="K46" s="9"/>
      <c r="L46" s="9"/>
      <c r="M46" s="9"/>
      <c r="N46" s="9"/>
      <c r="O46" s="9"/>
      <c r="P46" s="9"/>
      <c r="Q46" s="9"/>
      <c r="R46" s="9"/>
      <c r="S46" s="9"/>
      <c r="T46" s="9"/>
      <c r="U46" s="9"/>
      <c r="V46" s="9"/>
      <c r="W46" s="9"/>
      <c r="X46" s="9"/>
      <c r="Y46" s="9"/>
      <c r="Z46" s="9"/>
    </row>
    <row r="47">
      <c r="A47" s="9" t="str">
        <f>IFERROR(__xludf.DUMMYFUNCTION("""COMPUTED_VALUE"""),"Manufacturing")</f>
        <v>Manufacturing</v>
      </c>
      <c r="B47" s="9"/>
      <c r="C47" s="9"/>
      <c r="D47" s="9"/>
      <c r="E47" s="9"/>
      <c r="F47" s="9"/>
      <c r="G47" s="9"/>
      <c r="H47" s="9"/>
      <c r="I47" s="9"/>
      <c r="J47" s="9"/>
      <c r="K47" s="9"/>
      <c r="L47" s="9"/>
      <c r="M47" s="9"/>
      <c r="N47" s="9"/>
      <c r="O47" s="9"/>
      <c r="P47" s="9"/>
      <c r="Q47" s="9"/>
      <c r="R47" s="9"/>
      <c r="S47" s="9"/>
      <c r="T47" s="9"/>
      <c r="U47" s="9"/>
      <c r="V47" s="9"/>
      <c r="W47" s="9"/>
      <c r="X47" s="9"/>
      <c r="Y47" s="9"/>
      <c r="Z47" s="9"/>
    </row>
    <row r="48">
      <c r="A48" s="9" t="str">
        <f>IFERROR(__xludf.DUMMYFUNCTION("""COMPUTED_VALUE"""),"Automation")</f>
        <v>Automation</v>
      </c>
      <c r="B48" s="9"/>
      <c r="C48" s="9"/>
      <c r="D48" s="9"/>
      <c r="E48" s="9"/>
      <c r="F48" s="9"/>
      <c r="G48" s="9"/>
      <c r="H48" s="9"/>
      <c r="I48" s="9"/>
      <c r="J48" s="9"/>
      <c r="K48" s="9"/>
      <c r="L48" s="9"/>
      <c r="M48" s="9"/>
      <c r="N48" s="9"/>
      <c r="O48" s="9"/>
      <c r="P48" s="9"/>
      <c r="Q48" s="9"/>
      <c r="R48" s="9"/>
      <c r="S48" s="9"/>
      <c r="T48" s="9"/>
      <c r="U48" s="9"/>
      <c r="V48" s="9"/>
      <c r="W48" s="9"/>
      <c r="X48" s="9"/>
      <c r="Y48" s="9"/>
      <c r="Z48" s="9"/>
    </row>
    <row r="49">
      <c r="A49" s="9" t="str">
        <f>IFERROR(__xludf.DUMMYFUNCTION("""COMPUTED_VALUE"""),"Medical technology,")</f>
        <v>Medical technology,</v>
      </c>
      <c r="B49" s="9"/>
      <c r="C49" s="9"/>
      <c r="D49" s="9"/>
      <c r="E49" s="9"/>
      <c r="F49" s="9"/>
      <c r="G49" s="9"/>
      <c r="H49" s="9"/>
      <c r="I49" s="9"/>
      <c r="J49" s="9"/>
      <c r="K49" s="9"/>
      <c r="L49" s="9"/>
      <c r="M49" s="9"/>
      <c r="N49" s="9"/>
      <c r="O49" s="9"/>
      <c r="P49" s="9"/>
      <c r="Q49" s="9"/>
      <c r="R49" s="9"/>
      <c r="S49" s="9"/>
      <c r="T49" s="9"/>
      <c r="U49" s="9"/>
      <c r="V49" s="9"/>
      <c r="W49" s="9"/>
      <c r="X49" s="9"/>
      <c r="Y49" s="9"/>
      <c r="Z49" s="9"/>
    </row>
    <row r="50">
      <c r="A50" s="9" t="str">
        <f>IFERROR(__xludf.DUMMYFUNCTION("""COMPUTED_VALUE"""),"Medical physics")</f>
        <v>Medical physics</v>
      </c>
      <c r="B50" s="9"/>
      <c r="C50" s="9"/>
      <c r="D50" s="9"/>
      <c r="E50" s="9"/>
      <c r="F50" s="9"/>
      <c r="G50" s="9"/>
      <c r="H50" s="9"/>
      <c r="I50" s="9"/>
      <c r="J50" s="9"/>
      <c r="K50" s="9"/>
      <c r="L50" s="9"/>
      <c r="M50" s="9"/>
      <c r="N50" s="9"/>
      <c r="O50" s="9"/>
      <c r="P50" s="9"/>
      <c r="Q50" s="9"/>
      <c r="R50" s="9"/>
      <c r="S50" s="9"/>
      <c r="T50" s="9"/>
      <c r="U50" s="9"/>
      <c r="V50" s="9"/>
      <c r="W50" s="9"/>
      <c r="X50" s="9"/>
      <c r="Y50" s="9"/>
      <c r="Z50" s="9"/>
    </row>
    <row r="51">
      <c r="A51" s="9" t="str">
        <f>IFERROR(__xludf.DUMMYFUNCTION("""COMPUTED_VALUE"""),"Anatomy")</f>
        <v>Anatomy</v>
      </c>
      <c r="B51" s="9"/>
      <c r="C51" s="9"/>
      <c r="D51" s="9"/>
      <c r="E51" s="9"/>
      <c r="F51" s="9"/>
      <c r="G51" s="9"/>
      <c r="H51" s="9"/>
      <c r="I51" s="9"/>
      <c r="J51" s="9"/>
      <c r="K51" s="9"/>
      <c r="L51" s="9"/>
      <c r="M51" s="9"/>
      <c r="N51" s="9"/>
      <c r="O51" s="9"/>
      <c r="P51" s="9"/>
      <c r="Q51" s="9"/>
      <c r="R51" s="9"/>
      <c r="S51" s="9"/>
      <c r="T51" s="9"/>
      <c r="U51" s="9"/>
      <c r="V51" s="9"/>
      <c r="W51" s="9"/>
      <c r="X51" s="9"/>
      <c r="Y51" s="9"/>
      <c r="Z51" s="9"/>
    </row>
    <row r="52">
      <c r="A52" s="9" t="str">
        <f>IFERROR(__xludf.DUMMYFUNCTION("""COMPUTED_VALUE"""),"Physiology")</f>
        <v>Physiology</v>
      </c>
      <c r="B52" s="9"/>
      <c r="C52" s="9"/>
      <c r="D52" s="9"/>
      <c r="E52" s="9"/>
      <c r="F52" s="9"/>
      <c r="G52" s="9"/>
      <c r="H52" s="9"/>
      <c r="I52" s="9"/>
      <c r="J52" s="9"/>
      <c r="K52" s="9"/>
      <c r="L52" s="9"/>
      <c r="M52" s="9"/>
      <c r="N52" s="9"/>
      <c r="O52" s="9"/>
      <c r="P52" s="9"/>
      <c r="Q52" s="9"/>
      <c r="R52" s="9"/>
      <c r="S52" s="9"/>
      <c r="T52" s="9"/>
      <c r="U52" s="9"/>
      <c r="V52" s="9"/>
      <c r="W52" s="9"/>
      <c r="X52" s="9"/>
      <c r="Y52" s="9"/>
      <c r="Z52" s="9"/>
    </row>
    <row r="53">
      <c r="A53" s="9" t="str">
        <f>IFERROR(__xludf.DUMMYFUNCTION("""COMPUTED_VALUE"""),"Medical technology")</f>
        <v>Medical technology</v>
      </c>
      <c r="B53" s="9"/>
      <c r="C53" s="9"/>
      <c r="D53" s="9"/>
      <c r="E53" s="9"/>
      <c r="F53" s="9"/>
      <c r="G53" s="9"/>
      <c r="H53" s="9"/>
      <c r="I53" s="9"/>
      <c r="J53" s="9"/>
      <c r="K53" s="9"/>
      <c r="L53" s="9"/>
      <c r="M53" s="9"/>
      <c r="N53" s="9"/>
      <c r="O53" s="9"/>
      <c r="P53" s="9"/>
      <c r="Q53" s="9"/>
      <c r="R53" s="9"/>
      <c r="S53" s="9"/>
      <c r="T53" s="9"/>
      <c r="U53" s="9"/>
      <c r="V53" s="9"/>
      <c r="W53" s="9"/>
      <c r="X53" s="9"/>
      <c r="Y53" s="9"/>
      <c r="Z53" s="9"/>
    </row>
    <row r="54">
      <c r="A54" s="9" t="str">
        <f>IFERROR(__xludf.DUMMYFUNCTION("""COMPUTED_VALUE"""),"Biology")</f>
        <v>Biology</v>
      </c>
      <c r="B54" s="9"/>
      <c r="C54" s="9"/>
      <c r="D54" s="9"/>
      <c r="E54" s="9"/>
      <c r="F54" s="9"/>
      <c r="G54" s="9"/>
      <c r="H54" s="9"/>
      <c r="I54" s="9"/>
      <c r="J54" s="9"/>
      <c r="K54" s="9"/>
      <c r="L54" s="9"/>
      <c r="M54" s="9"/>
      <c r="N54" s="9"/>
      <c r="O54" s="9"/>
      <c r="P54" s="9"/>
      <c r="Q54" s="9"/>
      <c r="R54" s="9"/>
      <c r="S54" s="9"/>
      <c r="T54" s="9"/>
      <c r="U54" s="9"/>
      <c r="V54" s="9"/>
      <c r="W54" s="9"/>
      <c r="X54" s="9"/>
      <c r="Y54" s="9"/>
      <c r="Z54" s="9"/>
    </row>
    <row r="55">
      <c r="A55" s="9" t="str">
        <f>IFERROR(__xludf.DUMMYFUNCTION("""COMPUTED_VALUE"""),"Molecular biology")</f>
        <v>Molecular biology</v>
      </c>
      <c r="B55" s="9"/>
      <c r="C55" s="9"/>
      <c r="D55" s="9"/>
      <c r="E55" s="9"/>
      <c r="F55" s="9"/>
      <c r="G55" s="9"/>
      <c r="H55" s="9"/>
      <c r="I55" s="9"/>
      <c r="J55" s="9"/>
      <c r="K55" s="9"/>
      <c r="L55" s="9"/>
      <c r="M55" s="9"/>
      <c r="N55" s="9"/>
      <c r="O55" s="9"/>
      <c r="P55" s="9"/>
      <c r="Q55" s="9"/>
      <c r="R55" s="9"/>
      <c r="S55" s="9"/>
      <c r="T55" s="9"/>
      <c r="U55" s="9"/>
      <c r="V55" s="9"/>
      <c r="W55" s="9"/>
      <c r="X55" s="9"/>
      <c r="Y55" s="9"/>
      <c r="Z55" s="9"/>
    </row>
    <row r="56">
      <c r="A56" s="9" t="str">
        <f>IFERROR(__xludf.DUMMYFUNCTION("""COMPUTED_VALUE"""),"Statistics")</f>
        <v>Statistics</v>
      </c>
      <c r="B56" s="9"/>
      <c r="C56" s="9"/>
      <c r="D56" s="9"/>
      <c r="E56" s="9"/>
      <c r="F56" s="9"/>
      <c r="G56" s="9"/>
      <c r="H56" s="9"/>
      <c r="I56" s="9"/>
      <c r="J56" s="9"/>
      <c r="K56" s="9"/>
      <c r="L56" s="9"/>
      <c r="M56" s="9"/>
      <c r="N56" s="9"/>
      <c r="O56" s="9"/>
      <c r="P56" s="9"/>
      <c r="Q56" s="9"/>
      <c r="R56" s="9"/>
      <c r="S56" s="9"/>
      <c r="T56" s="9"/>
      <c r="U56" s="9"/>
      <c r="V56" s="9"/>
      <c r="W56" s="9"/>
      <c r="X56" s="9"/>
      <c r="Y56" s="9"/>
      <c r="Z56" s="9"/>
    </row>
    <row r="57">
      <c r="A57" s="9" t="str">
        <f>IFERROR(__xludf.DUMMYFUNCTION("""COMPUTED_VALUE"""),"Mathematical models")</f>
        <v>Mathematical models</v>
      </c>
      <c r="B57" s="9"/>
      <c r="C57" s="9"/>
      <c r="D57" s="9"/>
      <c r="E57" s="9"/>
      <c r="F57" s="9"/>
      <c r="G57" s="9"/>
      <c r="H57" s="9"/>
      <c r="I57" s="9"/>
      <c r="J57" s="9"/>
      <c r="K57" s="9"/>
      <c r="L57" s="9"/>
      <c r="M57" s="9"/>
      <c r="N57" s="9"/>
      <c r="O57" s="9"/>
      <c r="P57" s="9"/>
      <c r="Q57" s="9"/>
      <c r="R57" s="9"/>
      <c r="S57" s="9"/>
      <c r="T57" s="9"/>
      <c r="U57" s="9"/>
      <c r="V57" s="9"/>
      <c r="W57" s="9"/>
      <c r="X57" s="9"/>
      <c r="Y57" s="9"/>
      <c r="Z57" s="9"/>
    </row>
    <row r="58">
      <c r="A58" s="9" t="str">
        <f>IFERROR(__xludf.DUMMYFUNCTION("""COMPUTED_VALUE"""),"Evolutional biology")</f>
        <v>Evolutional biology</v>
      </c>
      <c r="B58" s="9"/>
      <c r="C58" s="9"/>
      <c r="D58" s="9"/>
      <c r="E58" s="9"/>
      <c r="F58" s="9"/>
      <c r="G58" s="9"/>
      <c r="H58" s="9"/>
      <c r="I58" s="9"/>
      <c r="J58" s="9"/>
      <c r="K58" s="9"/>
      <c r="L58" s="9"/>
      <c r="M58" s="9"/>
      <c r="N58" s="9"/>
      <c r="O58" s="9"/>
      <c r="P58" s="9"/>
      <c r="Q58" s="9"/>
      <c r="R58" s="9"/>
      <c r="S58" s="9"/>
      <c r="T58" s="9"/>
      <c r="U58" s="9"/>
      <c r="V58" s="9"/>
      <c r="W58" s="9"/>
      <c r="X58" s="9"/>
      <c r="Y58" s="9"/>
      <c r="Z58" s="9"/>
    </row>
    <row r="59">
      <c r="A59" s="9" t="str">
        <f>IFERROR(__xludf.DUMMYFUNCTION("""COMPUTED_VALUE"""),"Ecology")</f>
        <v>Ecology</v>
      </c>
      <c r="B59" s="9"/>
      <c r="C59" s="9"/>
      <c r="D59" s="9"/>
      <c r="E59" s="9"/>
      <c r="F59" s="9"/>
      <c r="G59" s="9"/>
      <c r="H59" s="9"/>
      <c r="I59" s="9"/>
      <c r="J59" s="9"/>
      <c r="K59" s="9"/>
      <c r="L59" s="9"/>
      <c r="M59" s="9"/>
      <c r="N59" s="9"/>
      <c r="O59" s="9"/>
      <c r="P59" s="9"/>
      <c r="Q59" s="9"/>
      <c r="R59" s="9"/>
      <c r="S59" s="9"/>
      <c r="T59" s="9"/>
      <c r="U59" s="9"/>
      <c r="V59" s="9"/>
      <c r="W59" s="9"/>
      <c r="X59" s="9"/>
      <c r="Y59" s="9"/>
      <c r="Z59" s="9"/>
    </row>
    <row r="60">
      <c r="A60" s="9" t="str">
        <f>IFERROR(__xludf.DUMMYFUNCTION("""COMPUTED_VALUE"""),"Biochemistry")</f>
        <v>Biochemistry</v>
      </c>
      <c r="B60" s="9"/>
      <c r="C60" s="9"/>
      <c r="D60" s="9"/>
      <c r="E60" s="9"/>
      <c r="F60" s="9"/>
      <c r="G60" s="9"/>
      <c r="H60" s="9"/>
      <c r="I60" s="9"/>
      <c r="J60" s="9"/>
      <c r="K60" s="9"/>
      <c r="L60" s="9"/>
      <c r="M60" s="9"/>
      <c r="N60" s="9"/>
      <c r="O60" s="9"/>
      <c r="P60" s="9"/>
      <c r="Q60" s="9"/>
      <c r="R60" s="9"/>
      <c r="S60" s="9"/>
      <c r="T60" s="9"/>
      <c r="U60" s="9"/>
      <c r="V60" s="9"/>
      <c r="W60" s="9"/>
      <c r="X60" s="9"/>
      <c r="Y60" s="9"/>
      <c r="Z60" s="9"/>
    </row>
    <row r="61">
      <c r="A61" s="9" t="str">
        <f>IFERROR(__xludf.DUMMYFUNCTION("""COMPUTED_VALUE"""),"Scientific approach")</f>
        <v>Scientific approach</v>
      </c>
      <c r="B61" s="9"/>
      <c r="C61" s="9"/>
      <c r="D61" s="9"/>
      <c r="E61" s="9"/>
      <c r="F61" s="9"/>
      <c r="G61" s="9"/>
      <c r="H61" s="9"/>
      <c r="I61" s="9"/>
      <c r="J61" s="9"/>
      <c r="K61" s="9"/>
      <c r="L61" s="9"/>
      <c r="M61" s="9"/>
      <c r="N61" s="9"/>
      <c r="O61" s="9"/>
      <c r="P61" s="9"/>
      <c r="Q61" s="9"/>
      <c r="R61" s="9"/>
      <c r="S61" s="9"/>
      <c r="T61" s="9"/>
      <c r="U61" s="9"/>
      <c r="V61" s="9"/>
      <c r="W61" s="9"/>
      <c r="X61" s="9"/>
      <c r="Y61" s="9"/>
      <c r="Z61" s="9"/>
    </row>
    <row r="62">
      <c r="A62" s="9" t="str">
        <f>IFERROR(__xludf.DUMMYFUNCTION("""COMPUTED_VALUE"""),"Fundamental physics")</f>
        <v>Fundamental physics</v>
      </c>
      <c r="B62" s="9"/>
      <c r="C62" s="9"/>
      <c r="D62" s="9"/>
      <c r="E62" s="9"/>
      <c r="F62" s="9"/>
      <c r="G62" s="9"/>
      <c r="H62" s="9"/>
      <c r="I62" s="9"/>
      <c r="J62" s="9"/>
      <c r="K62" s="9"/>
      <c r="L62" s="9"/>
      <c r="M62" s="9"/>
      <c r="N62" s="9"/>
      <c r="O62" s="9"/>
      <c r="P62" s="9"/>
      <c r="Q62" s="9"/>
      <c r="R62" s="9"/>
      <c r="S62" s="9"/>
      <c r="T62" s="9"/>
      <c r="U62" s="9"/>
      <c r="V62" s="9"/>
      <c r="W62" s="9"/>
      <c r="X62" s="9"/>
      <c r="Y62" s="9"/>
      <c r="Z62" s="9"/>
    </row>
    <row r="63">
      <c r="A63" s="9" t="str">
        <f>IFERROR(__xludf.DUMMYFUNCTION("""COMPUTED_VALUE"""),"Problem solving")</f>
        <v>Problem solving</v>
      </c>
      <c r="B63" s="9"/>
      <c r="C63" s="9"/>
      <c r="D63" s="9"/>
      <c r="E63" s="9"/>
      <c r="F63" s="9"/>
      <c r="G63" s="9"/>
      <c r="H63" s="9"/>
      <c r="I63" s="9"/>
      <c r="J63" s="9"/>
      <c r="K63" s="9"/>
      <c r="L63" s="9"/>
      <c r="M63" s="9"/>
      <c r="N63" s="9"/>
      <c r="O63" s="9"/>
      <c r="P63" s="9"/>
      <c r="Q63" s="9"/>
      <c r="R63" s="9"/>
      <c r="S63" s="9"/>
      <c r="T63" s="9"/>
      <c r="U63" s="9"/>
      <c r="V63" s="9"/>
      <c r="W63" s="9"/>
      <c r="X63" s="9"/>
      <c r="Y63" s="9"/>
      <c r="Z63" s="9"/>
    </row>
    <row r="64">
      <c r="A64" s="9" t="str">
        <f>IFERROR(__xludf.DUMMYFUNCTION("""COMPUTED_VALUE"""),"Geological science")</f>
        <v>Geological science</v>
      </c>
      <c r="B64" s="9"/>
      <c r="C64" s="9"/>
      <c r="D64" s="9"/>
      <c r="E64" s="9"/>
      <c r="F64" s="9"/>
      <c r="G64" s="9"/>
      <c r="H64" s="9"/>
      <c r="I64" s="9"/>
      <c r="J64" s="9"/>
      <c r="K64" s="9"/>
      <c r="L64" s="9"/>
      <c r="M64" s="9"/>
      <c r="N64" s="9"/>
      <c r="O64" s="9"/>
      <c r="P64" s="9"/>
      <c r="Q64" s="9"/>
      <c r="R64" s="9"/>
      <c r="S64" s="9"/>
      <c r="T64" s="9"/>
      <c r="U64" s="9"/>
      <c r="V64" s="9"/>
      <c r="W64" s="9"/>
      <c r="X64" s="9"/>
      <c r="Y64" s="9"/>
      <c r="Z64" s="9"/>
    </row>
    <row r="65">
      <c r="A65" s="9" t="str">
        <f>IFERROR(__xludf.DUMMYFUNCTION("""COMPUTED_VALUE"""),"GIS")</f>
        <v>GIS</v>
      </c>
      <c r="B65" s="9"/>
      <c r="C65" s="9"/>
      <c r="D65" s="9"/>
      <c r="E65" s="9"/>
      <c r="F65" s="9"/>
      <c r="G65" s="9"/>
      <c r="H65" s="9"/>
      <c r="I65" s="9"/>
      <c r="J65" s="9"/>
      <c r="K65" s="9"/>
      <c r="L65" s="9"/>
      <c r="M65" s="9"/>
      <c r="N65" s="9"/>
      <c r="O65" s="9"/>
      <c r="P65" s="9"/>
      <c r="Q65" s="9"/>
      <c r="R65" s="9"/>
      <c r="S65" s="9"/>
      <c r="T65" s="9"/>
      <c r="U65" s="9"/>
      <c r="V65" s="9"/>
      <c r="W65" s="9"/>
      <c r="X65" s="9"/>
      <c r="Y65" s="9"/>
      <c r="Z65" s="9"/>
    </row>
    <row r="66">
      <c r="A66" s="9" t="str">
        <f>IFERROR(__xludf.DUMMYFUNCTION("""COMPUTED_VALUE"""),"Sedimentology")</f>
        <v>Sedimentology</v>
      </c>
      <c r="B66" s="9"/>
      <c r="C66" s="9"/>
      <c r="D66" s="9"/>
      <c r="E66" s="9"/>
      <c r="F66" s="9"/>
      <c r="G66" s="9"/>
      <c r="H66" s="9"/>
      <c r="I66" s="9"/>
      <c r="J66" s="9"/>
      <c r="K66" s="9"/>
      <c r="L66" s="9"/>
      <c r="M66" s="9"/>
      <c r="N66" s="9"/>
      <c r="O66" s="9"/>
      <c r="P66" s="9"/>
      <c r="Q66" s="9"/>
      <c r="R66" s="9"/>
      <c r="S66" s="9"/>
      <c r="T66" s="9"/>
      <c r="U66" s="9"/>
      <c r="V66" s="9"/>
      <c r="W66" s="9"/>
      <c r="X66" s="9"/>
      <c r="Y66" s="9"/>
      <c r="Z66" s="9"/>
    </row>
    <row r="67">
      <c r="A67" s="9" t="str">
        <f>IFERROR(__xludf.DUMMYFUNCTION("""COMPUTED_VALUE"""),"Laboratory work")</f>
        <v>Laboratory work</v>
      </c>
      <c r="B67" s="9"/>
      <c r="C67" s="9"/>
      <c r="D67" s="9"/>
      <c r="E67" s="9"/>
      <c r="F67" s="9"/>
      <c r="G67" s="9"/>
      <c r="H67" s="9"/>
      <c r="I67" s="9"/>
      <c r="J67" s="9"/>
      <c r="K67" s="9"/>
      <c r="L67" s="9"/>
      <c r="M67" s="9"/>
      <c r="N67" s="9"/>
      <c r="O67" s="9"/>
      <c r="P67" s="9"/>
      <c r="Q67" s="9"/>
      <c r="R67" s="9"/>
      <c r="S67" s="9"/>
      <c r="T67" s="9"/>
      <c r="U67" s="9"/>
      <c r="V67" s="9"/>
      <c r="W67" s="9"/>
      <c r="X67" s="9"/>
      <c r="Y67" s="9"/>
      <c r="Z67" s="9"/>
    </row>
    <row r="68">
      <c r="A68" s="9" t="str">
        <f>IFERROR(__xludf.DUMMYFUNCTION("""COMPUTED_VALUE"""),"Analytical chemistry")</f>
        <v>Analytical chemistry</v>
      </c>
      <c r="B68" s="9"/>
      <c r="C68" s="9"/>
      <c r="D68" s="9"/>
      <c r="E68" s="9"/>
      <c r="F68" s="9"/>
      <c r="G68" s="9"/>
      <c r="H68" s="9"/>
      <c r="I68" s="9"/>
      <c r="J68" s="9"/>
      <c r="K68" s="9"/>
      <c r="L68" s="9"/>
      <c r="M68" s="9"/>
      <c r="N68" s="9"/>
      <c r="O68" s="9"/>
      <c r="P68" s="9"/>
      <c r="Q68" s="9"/>
      <c r="R68" s="9"/>
      <c r="S68" s="9"/>
      <c r="T68" s="9"/>
      <c r="U68" s="9"/>
      <c r="V68" s="9"/>
      <c r="W68" s="9"/>
      <c r="X68" s="9"/>
      <c r="Y68" s="9"/>
      <c r="Z68" s="9"/>
    </row>
    <row r="69">
      <c r="A69" s="9" t="str">
        <f>IFERROR(__xludf.DUMMYFUNCTION("""COMPUTED_VALUE"""),"Organic chemistry")</f>
        <v>Organic chemistry</v>
      </c>
      <c r="B69" s="9"/>
      <c r="C69" s="9"/>
      <c r="D69" s="9"/>
      <c r="E69" s="9"/>
      <c r="F69" s="9"/>
      <c r="G69" s="9"/>
      <c r="H69" s="9"/>
      <c r="I69" s="9"/>
      <c r="J69" s="9"/>
      <c r="K69" s="9"/>
      <c r="L69" s="9"/>
      <c r="M69" s="9"/>
      <c r="N69" s="9"/>
      <c r="O69" s="9"/>
      <c r="P69" s="9"/>
      <c r="Q69" s="9"/>
      <c r="R69" s="9"/>
      <c r="S69" s="9"/>
      <c r="T69" s="9"/>
      <c r="U69" s="9"/>
      <c r="V69" s="9"/>
      <c r="W69" s="9"/>
      <c r="X69" s="9"/>
      <c r="Y69" s="9"/>
      <c r="Z69" s="9"/>
    </row>
    <row r="70">
      <c r="A70" s="9" t="str">
        <f>IFERROR(__xludf.DUMMYFUNCTION("""COMPUTED_VALUE"""),"Non-organic chemistry")</f>
        <v>Non-organic chemistry</v>
      </c>
      <c r="B70" s="9"/>
      <c r="C70" s="9"/>
      <c r="D70" s="9"/>
      <c r="E70" s="9"/>
      <c r="F70" s="9"/>
      <c r="G70" s="9"/>
      <c r="H70" s="9"/>
      <c r="I70" s="9"/>
      <c r="J70" s="9"/>
      <c r="K70" s="9"/>
      <c r="L70" s="9"/>
      <c r="M70" s="9"/>
      <c r="N70" s="9"/>
      <c r="O70" s="9"/>
      <c r="P70" s="9"/>
      <c r="Q70" s="9"/>
      <c r="R70" s="9"/>
      <c r="S70" s="9"/>
      <c r="T70" s="9"/>
      <c r="U70" s="9"/>
      <c r="V70" s="9"/>
      <c r="W70" s="9"/>
      <c r="X70" s="9"/>
      <c r="Y70" s="9"/>
      <c r="Z70" s="9"/>
    </row>
    <row r="71">
      <c r="A71" s="9" t="str">
        <f>IFERROR(__xludf.DUMMYFUNCTION("""COMPUTED_VALUE"""),"Physical chemistry")</f>
        <v>Physical chemistry</v>
      </c>
      <c r="B71" s="9"/>
      <c r="C71" s="9"/>
      <c r="D71" s="9"/>
      <c r="E71" s="9"/>
      <c r="F71" s="9"/>
      <c r="G71" s="9"/>
      <c r="H71" s="9"/>
      <c r="I71" s="9"/>
      <c r="J71" s="9"/>
      <c r="K71" s="9"/>
      <c r="L71" s="9"/>
      <c r="M71" s="9"/>
      <c r="N71" s="9"/>
      <c r="O71" s="9"/>
      <c r="P71" s="9"/>
      <c r="Q71" s="9"/>
      <c r="R71" s="9"/>
      <c r="S71" s="9"/>
      <c r="T71" s="9"/>
      <c r="U71" s="9"/>
      <c r="V71" s="9"/>
      <c r="W71" s="9"/>
      <c r="X71" s="9"/>
      <c r="Y71" s="9"/>
      <c r="Z71" s="9"/>
    </row>
    <row r="72">
      <c r="A72" s="9" t="str">
        <f>IFERROR(__xludf.DUMMYFUNCTION("""COMPUTED_VALUE"""),"Leadership")</f>
        <v>Leadership</v>
      </c>
      <c r="B72" s="9"/>
      <c r="C72" s="9"/>
      <c r="D72" s="9"/>
      <c r="E72" s="9"/>
      <c r="F72" s="9"/>
      <c r="G72" s="9"/>
      <c r="H72" s="9"/>
      <c r="I72" s="9"/>
      <c r="J72" s="9"/>
      <c r="K72" s="9"/>
      <c r="L72" s="9"/>
      <c r="M72" s="9"/>
      <c r="N72" s="9"/>
      <c r="O72" s="9"/>
      <c r="P72" s="9"/>
      <c r="Q72" s="9"/>
      <c r="R72" s="9"/>
      <c r="S72" s="9"/>
      <c r="T72" s="9"/>
      <c r="U72" s="9"/>
      <c r="V72" s="9"/>
      <c r="W72" s="9"/>
      <c r="X72" s="9"/>
      <c r="Y72" s="9"/>
      <c r="Z72" s="9"/>
    </row>
    <row r="73">
      <c r="A73" s="9" t="str">
        <f>IFERROR(__xludf.DUMMYFUNCTION("""COMPUTED_VALUE"""),"Project management")</f>
        <v>Project management</v>
      </c>
      <c r="B73" s="9"/>
      <c r="C73" s="9"/>
      <c r="D73" s="9"/>
      <c r="E73" s="9"/>
      <c r="F73" s="9"/>
      <c r="G73" s="9"/>
      <c r="H73" s="9"/>
      <c r="I73" s="9"/>
      <c r="J73" s="9"/>
      <c r="K73" s="9"/>
      <c r="L73" s="9"/>
      <c r="M73" s="9"/>
      <c r="N73" s="9"/>
      <c r="O73" s="9"/>
      <c r="P73" s="9"/>
      <c r="Q73" s="9"/>
      <c r="R73" s="9"/>
      <c r="S73" s="9"/>
      <c r="T73" s="9"/>
      <c r="U73" s="9"/>
      <c r="V73" s="9"/>
      <c r="W73" s="9"/>
      <c r="X73" s="9"/>
      <c r="Y73" s="9"/>
      <c r="Z73" s="9"/>
    </row>
    <row r="74">
      <c r="A74" s="9" t="str">
        <f>IFERROR(__xludf.DUMMYFUNCTION("""COMPUTED_VALUE"""),"Mathematics")</f>
        <v>Mathematics</v>
      </c>
      <c r="B74" s="9"/>
      <c r="C74" s="9"/>
      <c r="D74" s="9"/>
      <c r="E74" s="9"/>
      <c r="F74" s="9"/>
      <c r="G74" s="9"/>
      <c r="H74" s="9"/>
      <c r="I74" s="9"/>
      <c r="J74" s="9"/>
      <c r="K74" s="9"/>
      <c r="L74" s="9"/>
      <c r="M74" s="9"/>
      <c r="N74" s="9"/>
      <c r="O74" s="9"/>
      <c r="P74" s="9"/>
      <c r="Q74" s="9"/>
      <c r="R74" s="9"/>
      <c r="S74" s="9"/>
      <c r="T74" s="9"/>
      <c r="U74" s="9"/>
      <c r="V74" s="9"/>
      <c r="W74" s="9"/>
      <c r="X74" s="9"/>
      <c r="Y74" s="9"/>
      <c r="Z74" s="9"/>
    </row>
    <row r="75">
      <c r="A75" s="9" t="str">
        <f>IFERROR(__xludf.DUMMYFUNCTION("""COMPUTED_VALUE"""),"Logic")</f>
        <v>Logic</v>
      </c>
      <c r="B75" s="9"/>
      <c r="C75" s="9"/>
      <c r="D75" s="9"/>
      <c r="E75" s="9"/>
      <c r="F75" s="9"/>
      <c r="G75" s="9"/>
      <c r="H75" s="9"/>
      <c r="I75" s="9"/>
      <c r="J75" s="9"/>
      <c r="K75" s="9"/>
      <c r="L75" s="9"/>
      <c r="M75" s="9"/>
      <c r="N75" s="9"/>
      <c r="O75" s="9"/>
      <c r="P75" s="9"/>
      <c r="Q75" s="9"/>
      <c r="R75" s="9"/>
      <c r="S75" s="9"/>
      <c r="T75" s="9"/>
      <c r="U75" s="9"/>
      <c r="V75" s="9"/>
      <c r="W75" s="9"/>
      <c r="X75" s="9"/>
      <c r="Y75" s="9"/>
      <c r="Z75" s="9"/>
    </row>
    <row r="76">
      <c r="A76" s="9" t="str">
        <f>IFERROR(__xludf.DUMMYFUNCTION("""COMPUTED_VALUE"""),"Materials technology")</f>
        <v>Materials technology</v>
      </c>
      <c r="B76" s="9"/>
      <c r="C76" s="9"/>
      <c r="D76" s="9"/>
      <c r="E76" s="9"/>
      <c r="F76" s="9"/>
      <c r="G76" s="9"/>
      <c r="H76" s="9"/>
      <c r="I76" s="9"/>
      <c r="J76" s="9"/>
      <c r="K76" s="9"/>
      <c r="L76" s="9"/>
      <c r="M76" s="9"/>
      <c r="N76" s="9"/>
      <c r="O76" s="9"/>
      <c r="P76" s="9"/>
      <c r="Q76" s="9"/>
      <c r="R76" s="9"/>
      <c r="S76" s="9"/>
      <c r="T76" s="9"/>
      <c r="U76" s="9"/>
      <c r="V76" s="9"/>
      <c r="W76" s="9"/>
      <c r="X76" s="9"/>
      <c r="Y76" s="9"/>
      <c r="Z76" s="9"/>
    </row>
    <row r="77">
      <c r="A77" s="9" t="str">
        <f>IFERROR(__xludf.DUMMYFUNCTION("""COMPUTED_VALUE"""),"Additive manufacturing")</f>
        <v>Additive manufacturing</v>
      </c>
      <c r="B77" s="9"/>
      <c r="C77" s="9"/>
      <c r="D77" s="9"/>
      <c r="E77" s="9"/>
      <c r="F77" s="9"/>
      <c r="G77" s="9"/>
      <c r="H77" s="9"/>
      <c r="I77" s="9"/>
      <c r="J77" s="9"/>
      <c r="K77" s="9"/>
      <c r="L77" s="9"/>
      <c r="M77" s="9"/>
      <c r="N77" s="9"/>
      <c r="O77" s="9"/>
      <c r="P77" s="9"/>
      <c r="Q77" s="9"/>
      <c r="R77" s="9"/>
      <c r="S77" s="9"/>
      <c r="T77" s="9"/>
      <c r="U77" s="9"/>
      <c r="V77" s="9"/>
      <c r="W77" s="9"/>
      <c r="X77" s="9"/>
      <c r="Y77" s="9"/>
      <c r="Z77" s="9"/>
    </row>
    <row r="78">
      <c r="A78" s="9" t="str">
        <f>IFERROR(__xludf.DUMMYFUNCTION("""COMPUTED_VALUE"""),"Sample preparation")</f>
        <v>Sample preparation</v>
      </c>
      <c r="B78" s="9"/>
      <c r="C78" s="9"/>
      <c r="D78" s="9"/>
      <c r="E78" s="9"/>
      <c r="F78" s="9"/>
      <c r="G78" s="9"/>
      <c r="H78" s="9"/>
      <c r="I78" s="9"/>
      <c r="J78" s="9"/>
      <c r="K78" s="9"/>
      <c r="L78" s="9"/>
      <c r="M78" s="9"/>
      <c r="N78" s="9"/>
      <c r="O78" s="9"/>
      <c r="P78" s="9"/>
      <c r="Q78" s="9"/>
      <c r="R78" s="9"/>
      <c r="S78" s="9"/>
      <c r="T78" s="9"/>
      <c r="U78" s="9"/>
      <c r="V78" s="9"/>
      <c r="W78" s="9"/>
      <c r="X78" s="9"/>
      <c r="Y78" s="9"/>
      <c r="Z78" s="9"/>
    </row>
    <row r="79">
      <c r="A79" s="9" t="str">
        <f>IFERROR(__xludf.DUMMYFUNCTION("""COMPUTED_VALUE"""),"Energy storage")</f>
        <v>Energy storage</v>
      </c>
      <c r="B79" s="9"/>
      <c r="C79" s="9"/>
      <c r="D79" s="9"/>
      <c r="E79" s="9"/>
      <c r="F79" s="9"/>
      <c r="G79" s="9"/>
      <c r="H79" s="9"/>
      <c r="I79" s="9"/>
      <c r="J79" s="9"/>
      <c r="K79" s="9"/>
      <c r="L79" s="9"/>
      <c r="M79" s="9"/>
      <c r="N79" s="9"/>
      <c r="O79" s="9"/>
      <c r="P79" s="9"/>
      <c r="Q79" s="9"/>
      <c r="R79" s="9"/>
      <c r="S79" s="9"/>
      <c r="T79" s="9"/>
      <c r="U79" s="9"/>
      <c r="V79" s="9"/>
      <c r="W79" s="9"/>
      <c r="X79" s="9"/>
      <c r="Y79" s="9"/>
      <c r="Z79" s="9"/>
    </row>
    <row r="80">
      <c r="A80" s="9" t="str">
        <f>IFERROR(__xludf.DUMMYFUNCTION("""COMPUTED_VALUE"""),"Battery technology")</f>
        <v>Battery technology</v>
      </c>
      <c r="B80" s="9"/>
      <c r="C80" s="9"/>
      <c r="D80" s="9"/>
      <c r="E80" s="9"/>
      <c r="F80" s="9"/>
      <c r="G80" s="9"/>
      <c r="H80" s="9"/>
      <c r="I80" s="9"/>
      <c r="J80" s="9"/>
      <c r="K80" s="9"/>
      <c r="L80" s="9"/>
      <c r="M80" s="9"/>
      <c r="N80" s="9"/>
      <c r="O80" s="9"/>
      <c r="P80" s="9"/>
      <c r="Q80" s="9"/>
      <c r="R80" s="9"/>
      <c r="S80" s="9"/>
      <c r="T80" s="9"/>
      <c r="U80" s="9"/>
      <c r="V80" s="9"/>
      <c r="W80" s="9"/>
      <c r="X80" s="9"/>
      <c r="Y80" s="9"/>
      <c r="Z80" s="9"/>
    </row>
    <row r="81">
      <c r="A81" s="9" t="str">
        <f>IFERROR(__xludf.DUMMYFUNCTION("""COMPUTED_VALUE"""),"Materials chemistry")</f>
        <v>Materials chemistry</v>
      </c>
      <c r="B81" s="9"/>
      <c r="C81" s="9"/>
      <c r="D81" s="9"/>
      <c r="E81" s="9"/>
      <c r="F81" s="9"/>
      <c r="G81" s="9"/>
      <c r="H81" s="9"/>
      <c r="I81" s="9"/>
      <c r="J81" s="9"/>
      <c r="K81" s="9"/>
      <c r="L81" s="9"/>
      <c r="M81" s="9"/>
      <c r="N81" s="9"/>
      <c r="O81" s="9"/>
      <c r="P81" s="9"/>
      <c r="Q81" s="9"/>
      <c r="R81" s="9"/>
      <c r="S81" s="9"/>
      <c r="T81" s="9"/>
      <c r="U81" s="9"/>
      <c r="V81" s="9"/>
      <c r="W81" s="9"/>
      <c r="X81" s="9"/>
      <c r="Y81" s="9"/>
      <c r="Z81" s="9"/>
    </row>
    <row r="82">
      <c r="A82" s="9" t="str">
        <f>IFERROR(__xludf.DUMMYFUNCTION("""COMPUTED_VALUE"""),"Image analysis")</f>
        <v>Image analysis</v>
      </c>
      <c r="B82" s="9"/>
      <c r="C82" s="9"/>
      <c r="D82" s="9"/>
      <c r="E82" s="9"/>
      <c r="F82" s="9"/>
      <c r="G82" s="9"/>
      <c r="H82" s="9"/>
      <c r="I82" s="9"/>
      <c r="J82" s="9"/>
      <c r="K82" s="9"/>
      <c r="L82" s="9"/>
      <c r="M82" s="9"/>
      <c r="N82" s="9"/>
      <c r="O82" s="9"/>
      <c r="P82" s="9"/>
      <c r="Q82" s="9"/>
      <c r="R82" s="9"/>
      <c r="S82" s="9"/>
      <c r="T82" s="9"/>
      <c r="U82" s="9"/>
      <c r="V82" s="9"/>
      <c r="W82" s="9"/>
      <c r="X82" s="9"/>
      <c r="Y82" s="9"/>
      <c r="Z82" s="9"/>
    </row>
    <row r="83">
      <c r="A83" s="9" t="str">
        <f>IFERROR(__xludf.DUMMYFUNCTION("""COMPUTED_VALUE"""),"Biophysics")</f>
        <v>Biophysics</v>
      </c>
      <c r="B83" s="9"/>
      <c r="C83" s="9"/>
      <c r="D83" s="9"/>
      <c r="E83" s="9"/>
      <c r="F83" s="9"/>
      <c r="G83" s="9"/>
      <c r="H83" s="9"/>
      <c r="I83" s="9"/>
      <c r="J83" s="9"/>
      <c r="K83" s="9"/>
      <c r="L83" s="9"/>
      <c r="M83" s="9"/>
      <c r="N83" s="9"/>
      <c r="O83" s="9"/>
      <c r="P83" s="9"/>
      <c r="Q83" s="9"/>
      <c r="R83" s="9"/>
      <c r="S83" s="9"/>
      <c r="T83" s="9"/>
      <c r="U83" s="9"/>
      <c r="V83" s="9"/>
      <c r="W83" s="9"/>
      <c r="X83" s="9"/>
      <c r="Y83" s="9"/>
      <c r="Z83" s="9"/>
    </row>
    <row r="84">
      <c r="A84" s="9" t="str">
        <f>IFERROR(__xludf.DUMMYFUNCTION("""COMPUTED_VALUE"""),"Bioinformatics")</f>
        <v>Bioinformatics</v>
      </c>
      <c r="B84" s="9"/>
      <c r="C84" s="9"/>
      <c r="D84" s="9"/>
      <c r="E84" s="9"/>
      <c r="F84" s="9"/>
      <c r="G84" s="9"/>
      <c r="H84" s="9"/>
      <c r="I84" s="9"/>
      <c r="J84" s="9"/>
      <c r="K84" s="9"/>
      <c r="L84" s="9"/>
      <c r="M84" s="9"/>
      <c r="N84" s="9"/>
      <c r="O84" s="9"/>
      <c r="P84" s="9"/>
      <c r="Q84" s="9"/>
      <c r="R84" s="9"/>
      <c r="S84" s="9"/>
      <c r="T84" s="9"/>
      <c r="U84" s="9"/>
      <c r="V84" s="9"/>
      <c r="W84" s="9"/>
      <c r="X84" s="9"/>
      <c r="Y84" s="9"/>
      <c r="Z84" s="9"/>
    </row>
    <row r="85">
      <c r="A85" s="9" t="str">
        <f>IFERROR(__xludf.DUMMYFUNCTION("""COMPUTED_VALUE"""),"Computer science")</f>
        <v>Computer science</v>
      </c>
      <c r="B85" s="9"/>
      <c r="C85" s="9"/>
      <c r="D85" s="9"/>
      <c r="E85" s="9"/>
      <c r="F85" s="9"/>
      <c r="G85" s="9"/>
      <c r="H85" s="9"/>
      <c r="I85" s="9"/>
      <c r="J85" s="9"/>
      <c r="K85" s="9"/>
      <c r="L85" s="9"/>
      <c r="M85" s="9"/>
      <c r="N85" s="9"/>
      <c r="O85" s="9"/>
      <c r="P85" s="9"/>
      <c r="Q85" s="9"/>
      <c r="R85" s="9"/>
      <c r="S85" s="9"/>
      <c r="T85" s="9"/>
      <c r="U85" s="9"/>
      <c r="V85" s="9"/>
      <c r="W85" s="9"/>
      <c r="X85" s="9"/>
      <c r="Y85" s="9"/>
      <c r="Z85" s="9"/>
    </row>
    <row r="86">
      <c r="A86" s="9" t="str">
        <f>IFERROR(__xludf.DUMMYFUNCTION("""COMPUTED_VALUE"""),"Electromobility")</f>
        <v>Electromobility</v>
      </c>
      <c r="B86" s="9"/>
      <c r="C86" s="9"/>
      <c r="D86" s="9"/>
      <c r="E86" s="9"/>
      <c r="F86" s="9"/>
      <c r="G86" s="9"/>
      <c r="H86" s="9"/>
      <c r="I86" s="9"/>
      <c r="J86" s="9"/>
      <c r="K86" s="9"/>
      <c r="L86" s="9"/>
      <c r="M86" s="9"/>
      <c r="N86" s="9"/>
      <c r="O86" s="9"/>
      <c r="P86" s="9"/>
      <c r="Q86" s="9"/>
      <c r="R86" s="9"/>
      <c r="S86" s="9"/>
      <c r="T86" s="9"/>
      <c r="U86" s="9"/>
      <c r="V86" s="9"/>
      <c r="W86" s="9"/>
      <c r="X86" s="9"/>
      <c r="Y86" s="9"/>
      <c r="Z86" s="9"/>
    </row>
    <row r="87">
      <c r="A87" s="9" t="str">
        <f>IFERROR(__xludf.DUMMYFUNCTION("""COMPUTED_VALUE"""),"Electrification")</f>
        <v>Electrification</v>
      </c>
      <c r="B87" s="9"/>
      <c r="C87" s="9"/>
      <c r="D87" s="9"/>
      <c r="E87" s="9"/>
      <c r="F87" s="9"/>
      <c r="G87" s="9"/>
      <c r="H87" s="9"/>
      <c r="I87" s="9"/>
      <c r="J87" s="9"/>
      <c r="K87" s="9"/>
      <c r="L87" s="9"/>
      <c r="M87" s="9"/>
      <c r="N87" s="9"/>
      <c r="O87" s="9"/>
      <c r="P87" s="9"/>
      <c r="Q87" s="9"/>
      <c r="R87" s="9"/>
      <c r="S87" s="9"/>
      <c r="T87" s="9"/>
      <c r="U87" s="9"/>
      <c r="V87" s="9"/>
      <c r="W87" s="9"/>
      <c r="X87" s="9"/>
      <c r="Y87" s="9"/>
      <c r="Z87" s="9"/>
    </row>
    <row r="88">
      <c r="A88" s="9" t="str">
        <f>IFERROR(__xludf.DUMMYFUNCTION("""COMPUTED_VALUE"""),"Control systems")</f>
        <v>Control systems</v>
      </c>
      <c r="B88" s="9"/>
      <c r="C88" s="9"/>
      <c r="D88" s="9"/>
      <c r="E88" s="9"/>
      <c r="F88" s="9"/>
      <c r="G88" s="9"/>
      <c r="H88" s="9"/>
      <c r="I88" s="9"/>
      <c r="J88" s="9"/>
      <c r="K88" s="9"/>
      <c r="L88" s="9"/>
      <c r="M88" s="9"/>
      <c r="N88" s="9"/>
      <c r="O88" s="9"/>
      <c r="P88" s="9"/>
      <c r="Q88" s="9"/>
      <c r="R88" s="9"/>
      <c r="S88" s="9"/>
      <c r="T88" s="9"/>
      <c r="U88" s="9"/>
      <c r="V88" s="9"/>
      <c r="W88" s="9"/>
      <c r="X88" s="9"/>
      <c r="Y88" s="9"/>
      <c r="Z88" s="9"/>
    </row>
    <row r="89">
      <c r="A89" s="9" t="str">
        <f>IFERROR(__xludf.DUMMYFUNCTION("""COMPUTED_VALUE"""),"Energy physics")</f>
        <v>Energy physics</v>
      </c>
      <c r="B89" s="9"/>
      <c r="C89" s="9"/>
      <c r="D89" s="9"/>
      <c r="E89" s="9"/>
      <c r="F89" s="9"/>
      <c r="G89" s="9"/>
      <c r="H89" s="9"/>
      <c r="I89" s="9"/>
      <c r="J89" s="9"/>
      <c r="K89" s="9"/>
      <c r="L89" s="9"/>
      <c r="M89" s="9"/>
      <c r="N89" s="9"/>
      <c r="O89" s="9"/>
      <c r="P89" s="9"/>
      <c r="Q89" s="9"/>
      <c r="R89" s="9"/>
      <c r="S89" s="9"/>
      <c r="T89" s="9"/>
      <c r="U89" s="9"/>
      <c r="V89" s="9"/>
      <c r="W89" s="9"/>
      <c r="X89" s="9"/>
      <c r="Y89" s="9"/>
      <c r="Z89" s="9"/>
    </row>
    <row r="90">
      <c r="A90" s="9" t="str">
        <f>IFERROR(__xludf.DUMMYFUNCTION("""COMPUTED_VALUE"""),"Financial mathematics")</f>
        <v>Financial mathematics</v>
      </c>
      <c r="B90" s="9"/>
      <c r="C90" s="9"/>
      <c r="D90" s="9"/>
      <c r="E90" s="9"/>
      <c r="F90" s="9"/>
      <c r="G90" s="9"/>
      <c r="H90" s="9"/>
      <c r="I90" s="9"/>
      <c r="J90" s="9"/>
      <c r="K90" s="9"/>
      <c r="L90" s="9"/>
      <c r="M90" s="9"/>
      <c r="N90" s="9"/>
      <c r="O90" s="9"/>
      <c r="P90" s="9"/>
      <c r="Q90" s="9"/>
      <c r="R90" s="9"/>
      <c r="S90" s="9"/>
      <c r="T90" s="9"/>
      <c r="U90" s="9"/>
      <c r="V90" s="9"/>
      <c r="W90" s="9"/>
      <c r="X90" s="9"/>
      <c r="Y90" s="9"/>
      <c r="Z90" s="9"/>
    </row>
    <row r="91">
      <c r="A91" s="9" t="str">
        <f>IFERROR(__xludf.DUMMYFUNCTION("""COMPUTED_VALUE"""),"Astronomy")</f>
        <v>Astronomy</v>
      </c>
      <c r="B91" s="9"/>
      <c r="C91" s="9"/>
      <c r="D91" s="9"/>
      <c r="E91" s="9"/>
      <c r="F91" s="9"/>
      <c r="G91" s="9"/>
      <c r="H91" s="9"/>
      <c r="I91" s="9"/>
      <c r="J91" s="9"/>
      <c r="K91" s="9"/>
      <c r="L91" s="9"/>
      <c r="M91" s="9"/>
      <c r="N91" s="9"/>
      <c r="O91" s="9"/>
      <c r="P91" s="9"/>
      <c r="Q91" s="9"/>
      <c r="R91" s="9"/>
      <c r="S91" s="9"/>
      <c r="T91" s="9"/>
      <c r="U91" s="9"/>
      <c r="V91" s="9"/>
      <c r="W91" s="9"/>
      <c r="X91" s="9"/>
      <c r="Y91" s="9"/>
      <c r="Z91" s="9"/>
    </row>
    <row r="92">
      <c r="A92" s="9" t="str">
        <f>IFERROR(__xludf.DUMMYFUNCTION("""COMPUTED_VALUE"""),"Physical chemistry ")</f>
        <v>Physical chemistry </v>
      </c>
      <c r="B92" s="9"/>
      <c r="C92" s="9"/>
      <c r="D92" s="9"/>
      <c r="E92" s="9"/>
      <c r="F92" s="9"/>
      <c r="G92" s="9"/>
      <c r="H92" s="9"/>
      <c r="I92" s="9"/>
      <c r="J92" s="9"/>
      <c r="K92" s="9"/>
      <c r="L92" s="9"/>
      <c r="M92" s="9"/>
      <c r="N92" s="9"/>
      <c r="O92" s="9"/>
      <c r="P92" s="9"/>
      <c r="Q92" s="9"/>
      <c r="R92" s="9"/>
      <c r="S92" s="9"/>
      <c r="T92" s="9"/>
      <c r="U92" s="9"/>
      <c r="V92" s="9"/>
      <c r="W92" s="9"/>
      <c r="X92" s="9"/>
      <c r="Y92" s="9"/>
      <c r="Z92" s="9"/>
    </row>
    <row r="93">
      <c r="A93" s="9" t="str">
        <f>IFERROR(__xludf.DUMMYFUNCTION("""COMPUTED_VALUE"""),"Geophysics")</f>
        <v>Geophysics</v>
      </c>
      <c r="B93" s="9"/>
      <c r="C93" s="9"/>
      <c r="D93" s="9"/>
      <c r="E93" s="9"/>
      <c r="F93" s="9"/>
      <c r="G93" s="9"/>
      <c r="H93" s="9"/>
      <c r="I93" s="9"/>
      <c r="J93" s="9"/>
      <c r="K93" s="9"/>
      <c r="L93" s="9"/>
      <c r="M93" s="9"/>
      <c r="N93" s="9"/>
      <c r="O93" s="9"/>
      <c r="P93" s="9"/>
      <c r="Q93" s="9"/>
      <c r="R93" s="9"/>
      <c r="S93" s="9"/>
      <c r="T93" s="9"/>
      <c r="U93" s="9"/>
      <c r="V93" s="9"/>
      <c r="W93" s="9"/>
      <c r="X93" s="9"/>
      <c r="Y93" s="9"/>
      <c r="Z93" s="9"/>
    </row>
    <row r="94">
      <c r="A94" s="9" t="str">
        <f>IFERROR(__xludf.DUMMYFUNCTION("""COMPUTED_VALUE"""),"Systems science")</f>
        <v>Systems science</v>
      </c>
      <c r="B94" s="9"/>
      <c r="C94" s="9"/>
      <c r="D94" s="9"/>
      <c r="E94" s="9"/>
      <c r="F94" s="9"/>
      <c r="G94" s="9"/>
      <c r="H94" s="9"/>
      <c r="I94" s="9"/>
      <c r="J94" s="9"/>
      <c r="K94" s="9"/>
      <c r="L94" s="9"/>
      <c r="M94" s="9"/>
      <c r="N94" s="9"/>
      <c r="O94" s="9"/>
      <c r="P94" s="9"/>
      <c r="Q94" s="9"/>
      <c r="R94" s="9"/>
      <c r="S94" s="9"/>
      <c r="T94" s="9"/>
      <c r="U94" s="9"/>
      <c r="V94" s="9"/>
      <c r="W94" s="9"/>
      <c r="X94" s="9"/>
      <c r="Y94" s="9"/>
      <c r="Z94" s="9"/>
    </row>
    <row r="95">
      <c r="A95" s="9" t="str">
        <f>IFERROR(__xludf.DUMMYFUNCTION("""COMPUTED_VALUE"""),"Embedded Systems")</f>
        <v>Embedded Systems</v>
      </c>
      <c r="B95" s="9"/>
      <c r="C95" s="9"/>
      <c r="D95" s="9"/>
      <c r="E95" s="9"/>
      <c r="F95" s="9"/>
      <c r="G95" s="9"/>
      <c r="H95" s="9"/>
      <c r="I95" s="9"/>
      <c r="J95" s="9"/>
      <c r="K95" s="9"/>
      <c r="L95" s="9"/>
      <c r="M95" s="9"/>
      <c r="N95" s="9"/>
      <c r="O95" s="9"/>
      <c r="P95" s="9"/>
      <c r="Q95" s="9"/>
      <c r="R95" s="9"/>
      <c r="S95" s="9"/>
      <c r="T95" s="9"/>
      <c r="U95" s="9"/>
      <c r="V95" s="9"/>
      <c r="W95" s="9"/>
      <c r="X95" s="9"/>
      <c r="Y95" s="9"/>
      <c r="Z95" s="9"/>
    </row>
    <row r="96">
      <c r="A96" s="9" t="str">
        <f>IFERROR(__xludf.DUMMYFUNCTION("""COMPUTED_VALUE"""),"Industrial management")</f>
        <v>Industrial management</v>
      </c>
      <c r="B96" s="9"/>
      <c r="C96" s="9"/>
      <c r="D96" s="9"/>
      <c r="E96" s="9"/>
      <c r="F96" s="9"/>
      <c r="G96" s="9"/>
      <c r="H96" s="9"/>
      <c r="I96" s="9"/>
      <c r="J96" s="9"/>
      <c r="K96" s="9"/>
      <c r="L96" s="9"/>
      <c r="M96" s="9"/>
      <c r="N96" s="9"/>
      <c r="O96" s="9"/>
      <c r="P96" s="9"/>
      <c r="Q96" s="9"/>
      <c r="R96" s="9"/>
      <c r="S96" s="9"/>
      <c r="T96" s="9"/>
      <c r="U96" s="9"/>
      <c r="V96" s="9"/>
      <c r="W96" s="9"/>
      <c r="X96" s="9"/>
      <c r="Y96" s="9"/>
      <c r="Z96" s="9"/>
    </row>
    <row r="97">
      <c r="A97" s="9" t="str">
        <f>IFERROR(__xludf.DUMMYFUNCTION("""COMPUTED_VALUE"""),"Nuclear physics")</f>
        <v>Nuclear physics</v>
      </c>
      <c r="B97" s="9"/>
      <c r="C97" s="9"/>
      <c r="D97" s="9"/>
      <c r="E97" s="9"/>
      <c r="F97" s="9"/>
      <c r="G97" s="9"/>
      <c r="H97" s="9"/>
      <c r="I97" s="9"/>
      <c r="J97" s="9"/>
      <c r="K97" s="9"/>
      <c r="L97" s="9"/>
      <c r="M97" s="9"/>
      <c r="N97" s="9"/>
      <c r="O97" s="9"/>
      <c r="P97" s="9"/>
      <c r="Q97" s="9"/>
      <c r="R97" s="9"/>
      <c r="S97" s="9"/>
      <c r="T97" s="9"/>
      <c r="U97" s="9"/>
      <c r="V97" s="9"/>
      <c r="W97" s="9"/>
      <c r="X97" s="9"/>
      <c r="Y97" s="9"/>
      <c r="Z97" s="9"/>
    </row>
    <row r="98">
      <c r="A98" s="9" t="str">
        <f>IFERROR(__xludf.DUMMYFUNCTION("""COMPUTED_VALUE"""),"Particle physics")</f>
        <v>Particle physics</v>
      </c>
      <c r="B98" s="9"/>
      <c r="C98" s="9"/>
      <c r="D98" s="9"/>
      <c r="E98" s="9"/>
      <c r="F98" s="9"/>
      <c r="G98" s="9"/>
      <c r="H98" s="9"/>
      <c r="I98" s="9"/>
      <c r="J98" s="9"/>
      <c r="K98" s="9"/>
      <c r="L98" s="9"/>
      <c r="M98" s="9"/>
      <c r="N98" s="9"/>
      <c r="O98" s="9"/>
      <c r="P98" s="9"/>
      <c r="Q98" s="9"/>
      <c r="R98" s="9"/>
      <c r="S98" s="9"/>
      <c r="T98" s="9"/>
      <c r="U98" s="9"/>
      <c r="V98" s="9"/>
      <c r="W98" s="9"/>
      <c r="X98" s="9"/>
      <c r="Y98" s="9"/>
      <c r="Z98" s="9"/>
    </row>
    <row r="99">
      <c r="A99" s="9" t="str">
        <f>IFERROR(__xludf.DUMMYFUNCTION("""COMPUTED_VALUE"""),"Chemistry,")</f>
        <v>Chemistry,</v>
      </c>
      <c r="B99" s="9"/>
      <c r="C99" s="9"/>
      <c r="D99" s="9"/>
      <c r="E99" s="9"/>
      <c r="F99" s="9"/>
      <c r="G99" s="9"/>
      <c r="H99" s="9"/>
      <c r="I99" s="9"/>
      <c r="J99" s="9"/>
      <c r="K99" s="9"/>
      <c r="L99" s="9"/>
      <c r="M99" s="9"/>
      <c r="N99" s="9"/>
      <c r="O99" s="9"/>
      <c r="P99" s="9"/>
      <c r="Q99" s="9"/>
      <c r="R99" s="9"/>
      <c r="S99" s="9"/>
      <c r="T99" s="9"/>
      <c r="U99" s="9"/>
      <c r="V99" s="9"/>
      <c r="W99" s="9"/>
      <c r="X99" s="9"/>
      <c r="Y99" s="9"/>
      <c r="Z99" s="9"/>
    </row>
    <row r="100">
      <c r="A100" s="9" t="str">
        <f>IFERROR(__xludf.DUMMYFUNCTION("""COMPUTED_VALUE"""),"Quantum technology")</f>
        <v>Quantum technology</v>
      </c>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t="str">
        <f>IFERROR(__xludf.DUMMYFUNCTION("""COMPUTED_VALUE"""),"Quantum physics")</f>
        <v>Quantum physics</v>
      </c>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5.25"/>
    <col customWidth="1" min="2" max="2" width="25.13"/>
    <col customWidth="1" min="3" max="26" width="12.5"/>
  </cols>
  <sheetData>
    <row r="1" ht="15.75" customHeight="1">
      <c r="A1" s="10" t="s">
        <v>341</v>
      </c>
      <c r="B1" s="10"/>
      <c r="C1" s="11"/>
      <c r="D1" s="11"/>
      <c r="E1" s="11"/>
      <c r="F1" s="12"/>
      <c r="G1" s="12"/>
    </row>
    <row r="2" ht="15.75" customHeight="1">
      <c r="A2" s="11" t="s">
        <v>342</v>
      </c>
      <c r="B2" s="11"/>
      <c r="C2" s="11"/>
      <c r="D2" s="11"/>
      <c r="E2" s="11"/>
      <c r="F2" s="12"/>
      <c r="G2" s="12"/>
    </row>
    <row r="3" ht="15.75" customHeight="1">
      <c r="A3" s="11" t="s">
        <v>343</v>
      </c>
      <c r="B3" s="11"/>
      <c r="C3" s="11"/>
      <c r="D3" s="11"/>
      <c r="E3" s="11"/>
      <c r="F3" s="12"/>
      <c r="G3" s="12"/>
    </row>
    <row r="4" ht="15.75" customHeight="1">
      <c r="A4" s="11"/>
      <c r="B4" s="11"/>
      <c r="C4" s="11"/>
      <c r="D4" s="11"/>
      <c r="E4" s="11"/>
      <c r="F4" s="12"/>
      <c r="G4" s="12"/>
    </row>
    <row r="5" ht="15.75" customHeight="1">
      <c r="A5" s="11"/>
      <c r="B5" s="11"/>
      <c r="C5" s="11"/>
      <c r="D5" s="11"/>
      <c r="E5" s="11"/>
      <c r="F5" s="12"/>
      <c r="G5" s="12"/>
    </row>
    <row r="6" ht="15.75" customHeight="1">
      <c r="A6" s="11"/>
      <c r="B6" s="11"/>
      <c r="C6" s="11"/>
      <c r="D6" s="11"/>
      <c r="E6" s="11"/>
      <c r="F6" s="12"/>
      <c r="G6" s="12"/>
    </row>
    <row r="7" ht="15.75" customHeight="1">
      <c r="A7" s="11"/>
      <c r="B7" s="11"/>
      <c r="C7" s="11"/>
      <c r="D7" s="11"/>
      <c r="E7" s="11"/>
      <c r="F7" s="12"/>
      <c r="G7" s="12"/>
    </row>
    <row r="8" ht="15.75" customHeight="1">
      <c r="A8" s="11"/>
      <c r="B8" s="11"/>
      <c r="C8" s="11"/>
      <c r="D8" s="11"/>
      <c r="E8" s="11"/>
      <c r="F8" s="12"/>
      <c r="G8" s="12"/>
    </row>
    <row r="9" ht="15.75" customHeight="1">
      <c r="A9" s="11"/>
      <c r="B9" s="11"/>
      <c r="C9" s="11"/>
      <c r="D9" s="11"/>
      <c r="E9" s="11"/>
      <c r="F9" s="12"/>
      <c r="G9" s="12"/>
    </row>
    <row r="10" ht="15.75" customHeight="1">
      <c r="A10" s="11"/>
      <c r="B10" s="11"/>
      <c r="C10" s="11"/>
      <c r="D10" s="11"/>
      <c r="E10" s="11"/>
      <c r="F10" s="12"/>
      <c r="G10" s="12"/>
    </row>
    <row r="11" ht="15.75" customHeight="1">
      <c r="A11" s="11"/>
      <c r="B11" s="11"/>
      <c r="C11" s="11"/>
      <c r="D11" s="11"/>
      <c r="E11" s="11"/>
      <c r="F11" s="12"/>
      <c r="G11" s="12"/>
    </row>
    <row r="12" ht="15.75" customHeight="1">
      <c r="A12" s="11"/>
      <c r="B12" s="11"/>
      <c r="C12" s="11"/>
      <c r="D12" s="11"/>
      <c r="E12" s="11"/>
      <c r="F12" s="12"/>
      <c r="G12" s="12"/>
    </row>
    <row r="13" ht="15.75" customHeight="1">
      <c r="A13" s="12"/>
      <c r="B13" s="12"/>
      <c r="C13" s="12"/>
      <c r="D13" s="12"/>
      <c r="E13" s="12"/>
      <c r="F13" s="12"/>
      <c r="G13" s="12"/>
    </row>
    <row r="14" ht="15.75" customHeight="1">
      <c r="A14" s="12"/>
      <c r="B14" s="12"/>
      <c r="C14" s="12"/>
      <c r="D14" s="12"/>
      <c r="E14" s="12"/>
      <c r="F14" s="12"/>
      <c r="G14" s="12"/>
    </row>
    <row r="15" ht="15.75" customHeight="1">
      <c r="A15" s="12"/>
      <c r="B15" s="12"/>
      <c r="C15" s="12"/>
      <c r="D15" s="12"/>
      <c r="E15" s="12"/>
      <c r="F15" s="12"/>
      <c r="G15" s="12"/>
    </row>
    <row r="16" ht="15.75" customHeight="1">
      <c r="A16" s="12"/>
      <c r="B16" s="12"/>
      <c r="C16" s="12"/>
      <c r="D16" s="12"/>
      <c r="E16" s="12"/>
      <c r="F16" s="12"/>
      <c r="G16" s="12"/>
    </row>
    <row r="17" ht="15.75" customHeight="1">
      <c r="A17" s="12"/>
      <c r="B17" s="12"/>
      <c r="C17" s="12"/>
      <c r="D17" s="12"/>
      <c r="E17" s="12"/>
      <c r="F17" s="12"/>
      <c r="G17" s="12"/>
    </row>
    <row r="18" ht="15.75" customHeight="1">
      <c r="A18" s="12"/>
      <c r="B18" s="12"/>
      <c r="C18" s="12"/>
      <c r="D18" s="12"/>
      <c r="E18" s="12"/>
      <c r="F18" s="12"/>
      <c r="G18" s="12"/>
    </row>
    <row r="19" ht="15.75" customHeight="1">
      <c r="A19" s="12"/>
      <c r="B19" s="12"/>
      <c r="C19" s="12"/>
      <c r="D19" s="12"/>
      <c r="E19" s="12"/>
      <c r="F19" s="12"/>
      <c r="G19" s="12"/>
    </row>
    <row r="20" ht="15.75" customHeight="1">
      <c r="A20" s="12"/>
      <c r="B20" s="12"/>
      <c r="C20" s="12"/>
      <c r="D20" s="12"/>
      <c r="E20" s="12"/>
      <c r="F20" s="12"/>
      <c r="G20" s="12"/>
    </row>
    <row r="21" ht="15.75" customHeight="1">
      <c r="A21" s="12"/>
      <c r="B21" s="12"/>
      <c r="C21" s="12"/>
      <c r="D21" s="12"/>
      <c r="E21" s="12"/>
      <c r="F21" s="12"/>
      <c r="G21" s="12"/>
    </row>
    <row r="22" ht="15.75" customHeight="1">
      <c r="A22" s="12"/>
      <c r="B22" s="12"/>
      <c r="C22" s="12"/>
      <c r="D22" s="12"/>
      <c r="E22" s="12"/>
      <c r="F22" s="12"/>
      <c r="G22" s="12"/>
    </row>
    <row r="23" ht="15.75" customHeight="1">
      <c r="A23" s="12"/>
      <c r="B23" s="12"/>
      <c r="C23" s="12"/>
      <c r="D23" s="12"/>
      <c r="E23" s="12"/>
      <c r="F23" s="12"/>
      <c r="G23" s="12"/>
    </row>
    <row r="24" ht="15.75" customHeight="1">
      <c r="A24" s="12"/>
      <c r="B24" s="12"/>
      <c r="C24" s="12"/>
      <c r="D24" s="12"/>
      <c r="E24" s="12"/>
      <c r="F24" s="12"/>
      <c r="G24" s="12"/>
    </row>
    <row r="25" ht="15.75" customHeight="1">
      <c r="A25" s="12"/>
      <c r="B25" s="12"/>
      <c r="C25" s="12"/>
      <c r="D25" s="12"/>
      <c r="E25" s="12"/>
      <c r="F25" s="12"/>
      <c r="G25" s="12"/>
    </row>
    <row r="26" ht="15.75" customHeight="1">
      <c r="A26" s="12"/>
      <c r="B26" s="12"/>
      <c r="C26" s="12"/>
      <c r="D26" s="12"/>
      <c r="E26" s="12"/>
      <c r="F26" s="12"/>
      <c r="G26" s="12"/>
    </row>
    <row r="27" ht="15.75" customHeight="1">
      <c r="A27" s="12"/>
      <c r="B27" s="12"/>
      <c r="C27" s="12"/>
      <c r="D27" s="12"/>
      <c r="E27" s="12"/>
      <c r="F27" s="12"/>
      <c r="G27" s="12"/>
    </row>
    <row r="28" ht="15.75" customHeight="1">
      <c r="A28" s="12"/>
      <c r="B28" s="12"/>
      <c r="C28" s="12"/>
      <c r="D28" s="12"/>
      <c r="E28" s="12"/>
      <c r="F28" s="12"/>
      <c r="G28" s="12"/>
    </row>
    <row r="29" ht="15.75" customHeight="1">
      <c r="A29" s="12"/>
      <c r="B29" s="12"/>
      <c r="C29" s="12"/>
      <c r="D29" s="12"/>
      <c r="E29" s="12"/>
      <c r="F29" s="12"/>
      <c r="G29" s="12"/>
    </row>
    <row r="30" ht="15.75" customHeight="1">
      <c r="A30" s="12"/>
      <c r="B30" s="12"/>
      <c r="C30" s="12"/>
      <c r="D30" s="12"/>
      <c r="E30" s="12"/>
      <c r="F30" s="12"/>
      <c r="G30" s="12"/>
    </row>
    <row r="31" ht="15.75" customHeight="1">
      <c r="A31" s="12"/>
      <c r="B31" s="12"/>
      <c r="C31" s="12"/>
      <c r="D31" s="12"/>
      <c r="E31" s="12"/>
      <c r="F31" s="12"/>
      <c r="G31" s="1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2024-10-21T11:35:36Z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0x010100F7724F7658A562419770467E8B77BB8E</vt:lpwstr>
  </property>
</Properties>
</file>